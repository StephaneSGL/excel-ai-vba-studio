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f73376eb9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47beb9c95347b6"/>
    <x:sheet xmlns:r="http://schemas.openxmlformats.org/officeDocument/2006/relationships" name="Orders" sheetId="2" r:id="R6ad6eb61e39f4a78"/>
    <x:sheet xmlns:r="http://schemas.openxmlformats.org/officeDocument/2006/relationships" name="Inventory" sheetId="3" r:id="R75da112284d44f3a"/>
    <x:sheet xmlns:r="http://schemas.openxmlformats.org/officeDocument/2006/relationships" name="Customers" sheetId="4" r:id="R12fcb89bf32b42f2"/>
    <x:sheet xmlns:r="http://schemas.openxmlformats.org/officeDocument/2006/relationships" name="Settings" sheetId="5" r:id="R865b5e75571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 &quot;€&quot;"/>
    <x:numFmt numFmtId="201" formatCode="#,##0 &quot;€&quot;"/>
    <x:numFmt numFmtId="202" formatCode="0.0"/>
    <x:numFmt numFmtId="203" formatCode="dd/mm/yyyy"/>
    <x:numFmt numFmtId="204" formatCode="0"/>
    <x:numFmt numFmtId="205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8"/>
      <x:color rgb="FFFFFFFF"/>
      <x:name val="Carlito"/>
    </x:font>
    <x:font>
      <x:b/>
      <x:sz val="17"/>
      <x:color rgb="FF17365D"/>
      <x:name val="Carlito"/>
    </x:font>
    <x:font>
      <x:i/>
      <x:sz val="11"/>
      <x:color rgb="FF6070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horizontal="center" vertical="center"/>
    </x:xf>
    <x:xf numFmtId="202" fontId="2" fillId="0" borderId="1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horizontal="center" vertical="center"/>
    </x:xf>
    <x:xf numFmtId="204" fontId="2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 applyAlignment="1">
      <x:alignment horizontal="center" vertical="center"/>
    </x:xf>
    <x:xf numFmtId="204" fontId="4" fillId="4" borderId="1" xfId="0" applyNumberFormat="1" applyFont="1" applyFill="1" applyBorder="1" applyAlignment="1">
      <x:alignment horizontal="center" vertical="center"/>
    </x:xf>
    <x:xf numFmtId="205" fontId="2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70AD47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c310cdc4c4133" /><Relationship Type="http://schemas.openxmlformats.org/officeDocument/2006/relationships/theme" Target="/xl/theme/theme1.xml" Id="R80a6f709d056494e" /><Relationship Type="http://schemas.openxmlformats.org/officeDocument/2006/relationships/sharedStrings" Target="/xl/sharedStrings.xml" Id="R7ce498891a574136" /><Relationship Type="http://schemas.openxmlformats.org/officeDocument/2006/relationships/worksheet" Target="/xl/worksheets/sheet1.xml" Id="R0747beb9c95347b6" /><Relationship Type="http://schemas.openxmlformats.org/officeDocument/2006/relationships/worksheet" Target="/xl/worksheets/sheet2.xml" Id="R6ad6eb61e39f4a78" /><Relationship Type="http://schemas.openxmlformats.org/officeDocument/2006/relationships/worksheet" Target="/xl/worksheets/sheet3.xml" Id="R75da112284d44f3a" /><Relationship Type="http://schemas.openxmlformats.org/officeDocument/2006/relationships/worksheet" Target="/xl/worksheets/sheet4.xml" Id="R12fcb89bf32b42f2" /><Relationship Type="http://schemas.openxmlformats.org/officeDocument/2006/relationships/worksheet" Target="/xl/worksheets/sheet5.xml" Id="R865b5e75571e41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c46644e1514c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 et marge — janvier à juin 2026</a:t>
            </a:r>
          </a:p>
        </c:rich>
      </c:tx>
    </c:title>
    <c:plotArea>
      <c:lineChart>
        <c:grouping val="standard"/>
        <c:ser>
          <c:idx val="0"/>
          <c:order val="0"/>
          <c:tx>
            <c:v>CA</c:v>
          </c:tx>
          <c:marker>
            <c:symbol val="none"/>
          </c:marker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#,##0 "€"</c:formatCode>
                <c:ptCount val="0"/>
              </c:numCache>
            </c:numRef>
          </c:val>
        </c:ser>
        <c:ser>
          <c:idx val="1"/>
          <c:order val="1"/>
          <c:tx>
            <c:v>Marge</c:v>
          </c:tx>
          <c:marker>
            <c:symbol val="none"/>
          </c:marker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'Dashboard'!$C$11:$C$16</c:f>
              <c:numCache>
                <c:formatCode>#,##0 "€"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€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46644e1514c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OrdersTable" displayName="OrdersTable" ref="A1:J61" headerRowCount="1" totalsRowCount="0" totalsRowShown="0">
  <x:tableColumns count="10">
    <x:tableColumn id="1" name="Date"/>
    <x:tableColumn id="2" name="Commande"/>
    <x:tableColumn id="3" name="Client"/>
    <x:tableColumn id="4" name="Produit"/>
    <x:tableColumn id="5" name="Quantité"/>
    <x:tableColumn id="6" name="CA"/>
    <x:tableColumn id="7" name="Marge"/>
    <x:tableColumn id="8" name="Statut"/>
    <x:tableColumn id="9" name="Responsable"/>
    <x:tableColumn id="10" name="Ca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nventoryTable" displayName="InventoryTable" ref="A1:H13" headerRowCount="1" totalsRowCount="0" totalsRowShown="0">
  <x:tableColumns count="8">
    <x:tableColumn id="1" name="Produit"/>
    <x:tableColumn id="2" name="Catégorie"/>
    <x:tableColumn id="3" name="Prix vente"/>
    <x:tableColumn id="4" name="Coût unitaire"/>
    <x:tableColumn id="5" name="Stock"/>
    <x:tableColumn id="6" name="Valeur stock"/>
    <x:tableColumn id="7" name="Seuil réappro."/>
    <x:tableColumn id="8" name="Fourniss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ustomersTable" displayName="CustomersTable" ref="A1:E11" headerRowCount="1" totalsRowCount="0" totalsRowShown="0">
  <x:tableColumns count="5">
    <x:tableColumn id="1" name="Client"/>
    <x:tableColumn id="2" name="Région"/>
    <x:tableColumn id="3" name="Segment"/>
    <x:tableColumn id="4" name="Satisfaction"/>
    <x:tableColumn id="5" name="Chiffre d’affai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367f5fcc1b42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e55bb55bcb49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d2b2ccd3b54e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828eda643548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52" customHeight="1">
      <x:c r="A1" s="27" t="str">
        <x:v>Excel AI &amp; VBA Studio
Démonstration XLSM — édition, mise en forme, Copilot et VBA transactionnel</x:v>
      </x:c>
    </x:row>
    <x:row r="2" ht="52" customHeight="1"/>
    <x:row r="4">
      <x:c r="A4" s="29" t="str">
        <x:v>Chiffre d’affaires</x:v>
      </x:c>
      <x:c r="B4" s="29"/>
      <x:c r="C4" s="29" t="str">
        <x:v>Marge totale</x:v>
      </x:c>
      <x:c r="D4" s="29"/>
      <x:c r="E4" s="29" t="str">
        <x:v>Commandes livrées</x:v>
      </x:c>
      <x:c r="F4" s="29"/>
      <x:c r="G4" s="29" t="str">
        <x:v>Valeur du stock</x:v>
      </x:c>
      <x:c r="H4" s="29"/>
    </x:row>
    <x:row r="5">
      <x:c r="A5" s="34" t="n">
        <x:f>SUM(Orders!$F$2:$F$61)</x:f>
        <x:v>47106</x:v>
      </x:c>
      <x:c r="B5" s="34"/>
      <x:c r="C5" s="34" t="n">
        <x:f>SUM(Orders!$G$2:$G$61)</x:f>
        <x:v>20112</x:v>
      </x:c>
      <x:c r="D5" s="34"/>
      <x:c r="E5" s="35" t="n">
        <x:f>COUNTIF(Orders!$H$2:$H$61,"Livrée")</x:f>
        <x:v>17</x:v>
      </x:c>
      <x:c r="F5" s="35"/>
      <x:c r="G5" s="34" t="n">
        <x:f>SUM(Inventory!$F$2:$F$13)</x:f>
        <x:v>27761</x:v>
      </x:c>
      <x:c r="H5" s="34"/>
    </x:row>
    <x:row r="6">
      <x:c r="A6" s="34"/>
      <x:c r="B6" s="34"/>
      <x:c r="C6" s="34"/>
      <x:c r="D6" s="34"/>
      <x:c r="E6" s="35"/>
      <x:c r="F6" s="35"/>
      <x:c r="G6" s="34"/>
      <x:c r="H6" s="34"/>
    </x:row>
    <x:row r="8">
      <x:c r="A8" s="20" t="str">
        <x:v>Performance mensuelle (formules liées aux commandes)</x:v>
      </x:c>
      <x:c r="B8" s="20"/>
      <x:c r="C8" s="20"/>
      <x:c r="D8" s="20"/>
    </x:row>
    <x:row r="10" ht="28" customHeight="1">
      <x:c r="A10" s="6" t="str">
        <x:v>Mois</x:v>
      </x:c>
      <x:c r="B10" s="6" t="str">
        <x:v>CA</x:v>
      </x:c>
      <x:c r="C10" s="6" t="str">
        <x:v>Marge</x:v>
      </x:c>
      <x:c r="D10" s="6" t="str">
        <x:v>Taux de marge</x:v>
      </x:c>
    </x:row>
    <x:row r="11">
      <x:c r="A11" s="9" t="str">
        <x:v>Jan 2026</x:v>
      </x:c>
      <x:c r="B11" s="11" t="n">
        <x:f>SUMIFS(Orders!$F$2:$F$61,Orders!$A$2:$A$61,"&gt;="&amp;DATE(2026,1,1),Orders!$A$2:$A$61,"&lt;"&amp;DATE(2026,2,1))</x:f>
        <x:v>8654</x:v>
      </x:c>
      <x:c r="C11" s="11" t="n">
        <x:f>SUMIFS(Orders!$G$2:$G$61,Orders!$A$2:$A$61,"&gt;="&amp;DATE(2026,1,1),Orders!$A$2:$A$61,"&lt;"&amp;DATE(2026,2,1))</x:f>
        <x:v>3552</x:v>
      </x:c>
      <x:c r="D11" s="36" t="n">
        <x:f>IFERROR(C11/B11,0)</x:f>
        <x:v>0.4104460365149064</x:v>
      </x:c>
    </x:row>
    <x:row r="12">
      <x:c r="A12" s="9" t="str">
        <x:v>Fév 2026</x:v>
      </x:c>
      <x:c r="B12" s="11" t="n">
        <x:f>SUMIFS(Orders!$F$2:$F$61,Orders!$A$2:$A$61,"&gt;="&amp;DATE(2026,2,1),Orders!$A$2:$A$61,"&lt;"&amp;DATE(2026,3,1))</x:f>
        <x:v>5050</x:v>
      </x:c>
      <x:c r="C12" s="11" t="n">
        <x:f>SUMIFS(Orders!$G$2:$G$61,Orders!$A$2:$A$61,"&gt;="&amp;DATE(2026,2,1),Orders!$A$2:$A$61,"&lt;"&amp;DATE(2026,3,1))</x:f>
        <x:v>2444</x:v>
      </x:c>
      <x:c r="D12" s="36" t="n">
        <x:f>IFERROR(C12/B12,0)</x:f>
        <x:v>0.48396039603960395</x:v>
      </x:c>
    </x:row>
    <x:row r="13">
      <x:c r="A13" s="9" t="str">
        <x:v>Mar 2026</x:v>
      </x:c>
      <x:c r="B13" s="11" t="n">
        <x:f>SUMIFS(Orders!$F$2:$F$61,Orders!$A$2:$A$61,"&gt;="&amp;DATE(2026,3,1),Orders!$A$2:$A$61,"&lt;"&amp;DATE(2026,4,1))</x:f>
        <x:v>3430</x:v>
      </x:c>
      <x:c r="C13" s="11" t="n">
        <x:f>SUMIFS(Orders!$G$2:$G$61,Orders!$A$2:$A$61,"&gt;="&amp;DATE(2026,3,1),Orders!$A$2:$A$61,"&lt;"&amp;DATE(2026,4,1))</x:f>
        <x:v>1733</x:v>
      </x:c>
      <x:c r="D13" s="36" t="n">
        <x:f>IFERROR(C13/B13,0)</x:f>
        <x:v>0.5052478134110787</x:v>
      </x:c>
    </x:row>
    <x:row r="14">
      <x:c r="A14" s="9" t="str">
        <x:v>Avr 2026</x:v>
      </x:c>
      <x:c r="B14" s="11" t="n">
        <x:f>SUMIFS(Orders!$F$2:$F$61,Orders!$A$2:$A$61,"&gt;="&amp;DATE(2026,4,1),Orders!$A$2:$A$61,"&lt;"&amp;DATE(2026,5,1))</x:f>
        <x:v>13946</x:v>
      </x:c>
      <x:c r="C14" s="11" t="n">
        <x:f>SUMIFS(Orders!$G$2:$G$61,Orders!$A$2:$A$61,"&gt;="&amp;DATE(2026,4,1),Orders!$A$2:$A$61,"&lt;"&amp;DATE(2026,5,1))</x:f>
        <x:v>5398</x:v>
      </x:c>
      <x:c r="D14" s="36" t="n">
        <x:f>IFERROR(C14/B14,0)</x:f>
        <x:v>0.38706439122328984</x:v>
      </x:c>
    </x:row>
    <x:row r="15">
      <x:c r="A15" s="9" t="str">
        <x:v>Mai 2026</x:v>
      </x:c>
      <x:c r="B15" s="11" t="n">
        <x:f>SUMIFS(Orders!$F$2:$F$61,Orders!$A$2:$A$61,"&gt;="&amp;DATE(2026,5,1),Orders!$A$2:$A$61,"&lt;"&amp;DATE(2026,6,1))</x:f>
        <x:v>9396</x:v>
      </x:c>
      <x:c r="C15" s="11" t="n">
        <x:f>SUMIFS(Orders!$G$2:$G$61,Orders!$A$2:$A$61,"&gt;="&amp;DATE(2026,5,1),Orders!$A$2:$A$61,"&lt;"&amp;DATE(2026,6,1))</x:f>
        <x:v>3849</x:v>
      </x:c>
      <x:c r="D15" s="36" t="n">
        <x:f>IFERROR(C15/B15,0)</x:f>
        <x:v>0.40964240102171134</x:v>
      </x:c>
    </x:row>
    <x:row r="16">
      <x:c r="A16" s="9" t="str">
        <x:v>Juin 2026</x:v>
      </x:c>
      <x:c r="B16" s="11" t="n">
        <x:f>SUMIFS(Orders!$F$2:$F$61,Orders!$A$2:$A$61,"&gt;="&amp;DATE(2026,6,1),Orders!$A$2:$A$61,"&lt;"&amp;DATE(2026,7,1))</x:f>
        <x:v>6630</x:v>
      </x:c>
      <x:c r="C16" s="11" t="n">
        <x:f>SUMIFS(Orders!$G$2:$G$61,Orders!$A$2:$A$61,"&gt;="&amp;DATE(2026,6,1),Orders!$A$2:$A$61,"&lt;"&amp;DATE(2026,7,1))</x:f>
        <x:v>3136</x:v>
      </x:c>
      <x:c r="D16" s="36" t="n">
        <x:f>IFERROR(C16/B16,0)</x:f>
        <x:v>0.4730015082956259</x:v>
      </x:c>
    </x:row>
    <x:row r="18">
      <x:c r="A18" s="38" t="str">
        <x:v>Le bouton VBA sera ajouté ici après conversion en XLSM.</x:v>
      </x:c>
      <x:c r="B18" s="38"/>
      <x:c r="C18" s="38"/>
      <x:c r="D18" s="38"/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D8"/>
    <x:mergeCell ref="A18:D18"/>
  </x:mergeCells>
  <x:conditionalFormatting sqref="D11:D16">
    <x:cfRule type="colorScale" priority="1">
      <x:colorScale>
        <x:cfvo type="min"/>
        <x:cfvo type="percentile" val="50"/>
        <x:cfvo type="max"/>
        <x:color rgb="FFC00000"/>
        <x:color rgb="FFFFC000"/>
        <x:color rgb="FF70AD47"/>
      </x:colorScale>
    </x:cfRule>
  </x:conditionalFormatting>
  <x:pageMargins left="0.7" right="0.7" top="0.75" bottom="0.75" header="0.3" footer="0.3"/>
  <x:drawing xmlns:r="http://schemas.openxmlformats.org/officeDocument/2006/relationships" r:id="Rb2367f5fcc1b427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1.75" hidden="0" customWidth="1"/>
    <x:col min="3" max="3" width="21" hidden="0" customWidth="1"/>
    <x:col min="4" max="4" width="20" hidden="0" customWidth="1"/>
    <x:col min="5" max="5" width="9.75" hidden="0" customWidth="1"/>
    <x:col min="6" max="6" width="8.380000114440918" hidden="0" customWidth="1"/>
    <x:col min="7" max="7" width="8" hidden="0" customWidth="1"/>
    <x:col min="8" max="8" width="17" hidden="0" customWidth="1"/>
    <x:col min="9" max="9" width="12.630000114440918" hidden="0" customWidth="1"/>
    <x:col min="10" max="10" width="10.25" hidden="0" customWidth="1"/>
  </x:cols>
  <x:sheetData>
    <x:row r="1" ht="28" customHeight="1">
      <x:c r="A1" s="6" t="str">
        <x:v>Date</x:v>
      </x:c>
      <x:c r="B1" s="6" t="str">
        <x:v>Commande</x:v>
      </x:c>
      <x:c r="C1" s="6" t="str">
        <x:v>Client</x:v>
      </x:c>
      <x:c r="D1" s="6" t="str">
        <x:v>Produit</x:v>
      </x:c>
      <x:c r="E1" s="6" t="str">
        <x:v>Quantité</x:v>
      </x:c>
      <x:c r="F1" s="6" t="str">
        <x:v>CA</x:v>
      </x:c>
      <x:c r="G1" s="6" t="str">
        <x:v>Marge</x:v>
      </x:c>
      <x:c r="H1" s="6" t="str">
        <x:v>Statut</x:v>
      </x:c>
      <x:c r="I1" s="6" t="str">
        <x:v>Responsable</x:v>
      </x:c>
      <x:c r="J1" s="6" t="str">
        <x:v>Canal</x:v>
      </x:c>
    </x:row>
    <x:row r="2">
      <x:c r="A2" s="17" t="n">
        <x:v>46024</x:v>
      </x:c>
      <x:c r="B2" s="12" t="str">
        <x:v>CMD-1001</x:v>
      </x:c>
      <x:c r="C2" s="9" t="str">
        <x:v>Alpina Conseil</x:v>
      </x:c>
      <x:c r="D2" s="9" t="str">
        <x:v>Écran 27 pouces</x:v>
      </x:c>
      <x:c r="E2" s="18" t="n">
        <x:v>1</x:v>
      </x:c>
      <x:c r="F2" s="10" t="n">
        <x:f>E2*INDEX(Inventory!$C$2:$C$13,MATCH(D2,Inventory!$A$2:$A$13,0))</x:f>
        <x:v>349</x:v>
      </x:c>
      <x:c r="G2" s="10" t="n">
        <x:f>F2-E2*INDEX(Inventory!$D$2:$D$13,MATCH(D2,Inventory!$A$2:$A$13,0))</x:f>
        <x:v>137</x:v>
      </x:c>
      <x:c r="H2" s="12" t="str">
        <x:v>Livrée</x:v>
      </x:c>
      <x:c r="I2" s="12" t="str">
        <x:v>Benoît</x:v>
      </x:c>
      <x:c r="J2" s="12" t="str">
        <x:v>Direct</x:v>
      </x:c>
    </x:row>
    <x:row r="3">
      <x:c r="A3" s="17" t="n">
        <x:v>46058</x:v>
      </x:c>
      <x:c r="B3" s="12" t="str">
        <x:v>CMD-1002</x:v>
      </x:c>
      <x:c r="C3" s="9" t="str">
        <x:v>Boreal Santé</x:v>
      </x:c>
      <x:c r="D3" s="9" t="str">
        <x:v>Hub 8 ports</x:v>
      </x:c>
      <x:c r="E3" s="18" t="n">
        <x:v>8</x:v>
      </x:c>
      <x:c r="F3" s="10" t="n">
        <x:f>E3*INDEX(Inventory!$C$2:$C$13,MATCH(D3,Inventory!$A$2:$A$13,0))</x:f>
        <x:v>952</x:v>
      </x:c>
      <x:c r="G3" s="10" t="n">
        <x:f>F3-E3*INDEX(Inventory!$D$2:$D$13,MATCH(D3,Inventory!$A$2:$A$13,0))</x:f>
        <x:v>440</x:v>
      </x:c>
      <x:c r="H3" s="12" t="str">
        <x:v>Retard</x:v>
      </x:c>
      <x:c r="I3" s="12" t="str">
        <x:v>Chloé</x:v>
      </x:c>
      <x:c r="J3" s="12" t="str">
        <x:v>Partenaire</x:v>
      </x:c>
    </x:row>
    <x:row r="4">
      <x:c r="A4" s="17" t="n">
        <x:v>46089</x:v>
      </x:c>
      <x:c r="B4" s="12" t="str">
        <x:v>CMD-1003</x:v>
      </x:c>
      <x:c r="C4" s="9" t="str">
        <x:v>Cirrus Media</x:v>
      </x:c>
      <x:c r="D4" s="9" t="str">
        <x:v>Clavier Pro</x:v>
      </x:c>
      <x:c r="E4" s="18" t="n">
        <x:v>7</x:v>
      </x:c>
      <x:c r="F4" s="10" t="n">
        <x:f>E4*INDEX(Inventory!$C$2:$C$13,MATCH(D4,Inventory!$A$2:$A$13,0))</x:f>
        <x:v>623</x:v>
      </x:c>
      <x:c r="G4" s="10" t="n">
        <x:f>F4-E4*INDEX(Inventory!$D$2:$D$13,MATCH(D4,Inventory!$A$2:$A$13,0))</x:f>
        <x:v>301</x:v>
      </x:c>
      <x:c r="H4" s="12" t="str">
        <x:v>En préparation</x:v>
      </x:c>
      <x:c r="I4" s="12" t="str">
        <x:v>David</x:v>
      </x:c>
      <x:c r="J4" s="12" t="str">
        <x:v>Web</x:v>
      </x:c>
    </x:row>
    <x:row r="5">
      <x:c r="A5" s="17" t="n">
        <x:v>46123</x:v>
      </x:c>
      <x:c r="B5" s="12" t="str">
        <x:v>CMD-1004</x:v>
      </x:c>
      <x:c r="C5" s="9" t="str">
        <x:v>Delta Industrie</x:v>
      </x:c>
      <x:c r="D5" s="9" t="str">
        <x:v>Webcam 4K</x:v>
      </x:c>
      <x:c r="E5" s="18" t="n">
        <x:v>6</x:v>
      </x:c>
      <x:c r="F5" s="10" t="n">
        <x:f>E5*INDEX(Inventory!$C$2:$C$13,MATCH(D5,Inventory!$A$2:$A$13,0))</x:f>
        <x:v>1194</x:v>
      </x:c>
      <x:c r="G5" s="10" t="n">
        <x:f>F5-E5*INDEX(Inventory!$D$2:$D$13,MATCH(D5,Inventory!$A$2:$A$13,0))</x:f>
        <x:v>486</x:v>
      </x:c>
      <x:c r="H5" s="12" t="str">
        <x:v>En cours</x:v>
      </x:c>
      <x:c r="I5" s="12" t="str">
        <x:v>Alice</x:v>
      </x:c>
      <x:c r="J5" s="12" t="str">
        <x:v>Direct</x:v>
      </x:c>
    </x:row>
    <x:row r="6">
      <x:c r="A6" s="17" t="n">
        <x:v>46156</x:v>
      </x:c>
      <x:c r="B6" s="12" t="str">
        <x:v>CMD-1005</x:v>
      </x:c>
      <x:c r="C6" s="9" t="str">
        <x:v>Epsilon Lab</x:v>
      </x:c>
      <x:c r="D6" s="9" t="str">
        <x:v>SSD 2 To</x:v>
      </x:c>
      <x:c r="E6" s="18" t="n">
        <x:v>5</x:v>
      </x:c>
      <x:c r="F6" s="10" t="n">
        <x:f>E6*INDEX(Inventory!$C$2:$C$13,MATCH(D6,Inventory!$A$2:$A$13,0))</x:f>
        <x:v>945</x:v>
      </x:c>
      <x:c r="G6" s="10" t="n">
        <x:f>F6-E6*INDEX(Inventory!$D$2:$D$13,MATCH(D6,Inventory!$A$2:$A$13,0))</x:f>
        <x:v>330</x:v>
      </x:c>
      <x:c r="H6" s="12" t="str">
        <x:v>Livrée</x:v>
      </x:c>
      <x:c r="I6" s="12" t="str">
        <x:v>Benoît</x:v>
      </x:c>
      <x:c r="J6" s="12" t="str">
        <x:v>Partenaire</x:v>
      </x:c>
    </x:row>
    <x:row r="7">
      <x:c r="A7" s="17" t="n">
        <x:v>46190</x:v>
      </x:c>
      <x:c r="B7" s="12" t="str">
        <x:v>CMD-1006</x:v>
      </x:c>
      <x:c r="C7" s="9" t="str">
        <x:v>Fjord Retail</x:v>
      </x:c>
      <x:c r="D7" s="9" t="str">
        <x:v>Dock USB-C</x:v>
      </x:c>
      <x:c r="E7" s="18" t="n">
        <x:v>4</x:v>
      </x:c>
      <x:c r="F7" s="10" t="n">
        <x:f>E7*INDEX(Inventory!$C$2:$C$13,MATCH(D7,Inventory!$A$2:$A$13,0))</x:f>
        <x:v>636</x:v>
      </x:c>
      <x:c r="G7" s="10" t="n">
        <x:f>F7-E7*INDEX(Inventory!$D$2:$D$13,MATCH(D7,Inventory!$A$2:$A$13,0))</x:f>
        <x:v>272</x:v>
      </x:c>
      <x:c r="H7" s="12" t="str">
        <x:v>Retard</x:v>
      </x:c>
      <x:c r="I7" s="12" t="str">
        <x:v>Chloé</x:v>
      </x:c>
      <x:c r="J7" s="12" t="str">
        <x:v>Web</x:v>
      </x:c>
    </x:row>
    <x:row r="8">
      <x:c r="A8" s="17" t="n">
        <x:v>46042</x:v>
      </x:c>
      <x:c r="B8" s="12" t="str">
        <x:v>CMD-1007</x:v>
      </x:c>
      <x:c r="C8" s="9" t="str">
        <x:v>Gaïa Services</x:v>
      </x:c>
      <x:c r="D8" s="9" t="str">
        <x:v>Micro Studio</x:v>
      </x:c>
      <x:c r="E8" s="18" t="n">
        <x:v>3</x:v>
      </x:c>
      <x:c r="F8" s="10" t="n">
        <x:f>E8*INDEX(Inventory!$C$2:$C$13,MATCH(D8,Inventory!$A$2:$A$13,0))</x:f>
        <x:v>537</x:v>
      </x:c>
      <x:c r="G8" s="10" t="n">
        <x:f>F8-E8*INDEX(Inventory!$D$2:$D$13,MATCH(D8,Inventory!$A$2:$A$13,0))</x:f>
        <x:v>231</x:v>
      </x:c>
      <x:c r="H8" s="12" t="str">
        <x:v>En préparation</x:v>
      </x:c>
      <x:c r="I8" s="12" t="str">
        <x:v>David</x:v>
      </x:c>
      <x:c r="J8" s="12" t="str">
        <x:v>Direct</x:v>
      </x:c>
    </x:row>
    <x:row r="9">
      <x:c r="A9" s="17" t="n">
        <x:v>46076</x:v>
      </x:c>
      <x:c r="B9" s="12" t="str">
        <x:v>CMD-1008</x:v>
      </x:c>
      <x:c r="C9" s="9" t="str">
        <x:v>Helios Tech</x:v>
      </x:c>
      <x:c r="D9" s="9" t="str">
        <x:v>Souris Ergo</x:v>
      </x:c>
      <x:c r="E9" s="18" t="n">
        <x:v>2</x:v>
      </x:c>
      <x:c r="F9" s="10" t="n">
        <x:f>E9*INDEX(Inventory!$C$2:$C$13,MATCH(D9,Inventory!$A$2:$A$13,0))</x:f>
        <x:v>138</x:v>
      </x:c>
      <x:c r="G9" s="10" t="n">
        <x:f>F9-E9*INDEX(Inventory!$D$2:$D$13,MATCH(D9,Inventory!$A$2:$A$13,0))</x:f>
        <x:v>76</x:v>
      </x:c>
      <x:c r="H9" s="12" t="str">
        <x:v>En préparation</x:v>
      </x:c>
      <x:c r="I9" s="12" t="str">
        <x:v>Alice</x:v>
      </x:c>
      <x:c r="J9" s="12" t="str">
        <x:v>Partenaire</x:v>
      </x:c>
    </x:row>
    <x:row r="10">
      <x:c r="A10" s="17" t="n">
        <x:v>46107</x:v>
      </x:c>
      <x:c r="B10" s="12" t="str">
        <x:v>CMD-1009</x:v>
      </x:c>
      <x:c r="C10" s="9" t="str">
        <x:v>Iris Finance</x:v>
      </x:c>
      <x:c r="D10" s="9" t="str">
        <x:v>Laptop Stand</x:v>
      </x:c>
      <x:c r="E10" s="18" t="n">
        <x:v>1</x:v>
      </x:c>
      <x:c r="F10" s="10" t="n">
        <x:f>E10*INDEX(Inventory!$C$2:$C$13,MATCH(D10,Inventory!$A$2:$A$13,0))</x:f>
        <x:v>79</x:v>
      </x:c>
      <x:c r="G10" s="10" t="n">
        <x:f>F10-E10*INDEX(Inventory!$D$2:$D$13,MATCH(D10,Inventory!$A$2:$A$13,0))</x:f>
        <x:v>44</x:v>
      </x:c>
      <x:c r="H10" s="12" t="str">
        <x:v>En cours</x:v>
      </x:c>
      <x:c r="I10" s="12" t="str">
        <x:v>Benoît</x:v>
      </x:c>
      <x:c r="J10" s="12" t="str">
        <x:v>Web</x:v>
      </x:c>
    </x:row>
    <x:row r="11">
      <x:c r="A11" s="17" t="n">
        <x:v>46116</x:v>
      </x:c>
      <x:c r="B11" s="12" t="str">
        <x:v>CMD-1010</x:v>
      </x:c>
      <x:c r="C11" s="9" t="str">
        <x:v>Juniper Design</x:v>
      </x:c>
      <x:c r="D11" s="9" t="str">
        <x:v>Routeur Wi-Fi 7</x:v>
      </x:c>
      <x:c r="E11" s="18" t="n">
        <x:v>8</x:v>
      </x:c>
      <x:c r="F11" s="10" t="n">
        <x:f>E11*INDEX(Inventory!$C$2:$C$13,MATCH(D11,Inventory!$A$2:$A$13,0))</x:f>
        <x:v>2392</x:v>
      </x:c>
      <x:c r="G11" s="10" t="n">
        <x:f>F11-E11*INDEX(Inventory!$D$2:$D$13,MATCH(D11,Inventory!$A$2:$A$13,0))</x:f>
        <x:v>904</x:v>
      </x:c>
      <x:c r="H11" s="12" t="str">
        <x:v>Livrée</x:v>
      </x:c>
      <x:c r="I11" s="12" t="str">
        <x:v>Chloé</x:v>
      </x:c>
      <x:c r="J11" s="12" t="str">
        <x:v>Direct</x:v>
      </x:c>
    </x:row>
    <x:row r="12">
      <x:c r="A12" s="17" t="n">
        <x:v>46149</x:v>
      </x:c>
      <x:c r="B12" s="12" t="str">
        <x:v>CMD-1011</x:v>
      </x:c>
      <x:c r="C12" s="9" t="str">
        <x:v>Alpina Conseil</x:v>
      </x:c>
      <x:c r="D12" s="9" t="str">
        <x:v>Casque ANC</x:v>
      </x:c>
      <x:c r="E12" s="18" t="n">
        <x:v>7</x:v>
      </x:c>
      <x:c r="F12" s="10" t="n">
        <x:f>E12*INDEX(Inventory!$C$2:$C$13,MATCH(D12,Inventory!$A$2:$A$13,0))</x:f>
        <x:v>1603</x:v>
      </x:c>
      <x:c r="G12" s="10" t="n">
        <x:f>F12-E12*INDEX(Inventory!$D$2:$D$13,MATCH(D12,Inventory!$A$2:$A$13,0))</x:f>
        <x:v>707</x:v>
      </x:c>
      <x:c r="H12" s="12" t="str">
        <x:v>Retard</x:v>
      </x:c>
      <x:c r="I12" s="12" t="str">
        <x:v>David</x:v>
      </x:c>
      <x:c r="J12" s="12" t="str">
        <x:v>Partenaire</x:v>
      </x:c>
    </x:row>
    <x:row r="13">
      <x:c r="A13" s="17" t="n">
        <x:v>46183</x:v>
      </x:c>
      <x:c r="B13" s="12" t="str">
        <x:v>CMD-1012</x:v>
      </x:c>
      <x:c r="C13" s="9" t="str">
        <x:v>Boreal Santé</x:v>
      </x:c>
      <x:c r="D13" s="9" t="str">
        <x:v>Lampe Bureau</x:v>
      </x:c>
      <x:c r="E13" s="18" t="n">
        <x:v>6</x:v>
      </x:c>
      <x:c r="F13" s="10" t="n">
        <x:f>E13*INDEX(Inventory!$C$2:$C$13,MATCH(D13,Inventory!$A$2:$A$13,0))</x:f>
        <x:v>594</x:v>
      </x:c>
      <x:c r="G13" s="10" t="n">
        <x:f>F13-E13*INDEX(Inventory!$D$2:$D$13,MATCH(D13,Inventory!$A$2:$A$13,0))</x:f>
        <x:v>336</x:v>
      </x:c>
      <x:c r="H13" s="12" t="str">
        <x:v>En préparation</x:v>
      </x:c>
      <x:c r="I13" s="12" t="str">
        <x:v>Alice</x:v>
      </x:c>
      <x:c r="J13" s="12" t="str">
        <x:v>Web</x:v>
      </x:c>
    </x:row>
    <x:row r="14">
      <x:c r="A14" s="17" t="n">
        <x:v>46035</x:v>
      </x:c>
      <x:c r="B14" s="12" t="str">
        <x:v>CMD-1013</x:v>
      </x:c>
      <x:c r="C14" s="9" t="str">
        <x:v>Cirrus Media</x:v>
      </x:c>
      <x:c r="D14" s="9" t="str">
        <x:v>Écran 27 pouces</x:v>
      </x:c>
      <x:c r="E14" s="18" t="n">
        <x:v>5</x:v>
      </x:c>
      <x:c r="F14" s="10" t="n">
        <x:f>E14*INDEX(Inventory!$C$2:$C$13,MATCH(D14,Inventory!$A$2:$A$13,0))</x:f>
        <x:v>1745</x:v>
      </x:c>
      <x:c r="G14" s="10" t="n">
        <x:f>F14-E14*INDEX(Inventory!$D$2:$D$13,MATCH(D14,Inventory!$A$2:$A$13,0))</x:f>
        <x:v>685</x:v>
      </x:c>
      <x:c r="H14" s="12" t="str">
        <x:v>En cours</x:v>
      </x:c>
      <x:c r="I14" s="12" t="str">
        <x:v>Benoît</x:v>
      </x:c>
      <x:c r="J14" s="12" t="str">
        <x:v>Direct</x:v>
      </x:c>
    </x:row>
    <x:row r="15">
      <x:c r="A15" s="17" t="n">
        <x:v>46069</x:v>
      </x:c>
      <x:c r="B15" s="12" t="str">
        <x:v>CMD-1014</x:v>
      </x:c>
      <x:c r="C15" s="9" t="str">
        <x:v>Delta Industrie</x:v>
      </x:c>
      <x:c r="D15" s="9" t="str">
        <x:v>Hub 8 ports</x:v>
      </x:c>
      <x:c r="E15" s="18" t="n">
        <x:v>4</x:v>
      </x:c>
      <x:c r="F15" s="10" t="n">
        <x:f>E15*INDEX(Inventory!$C$2:$C$13,MATCH(D15,Inventory!$A$2:$A$13,0))</x:f>
        <x:v>476</x:v>
      </x:c>
      <x:c r="G15" s="10" t="n">
        <x:f>F15-E15*INDEX(Inventory!$D$2:$D$13,MATCH(D15,Inventory!$A$2:$A$13,0))</x:f>
        <x:v>220</x:v>
      </x:c>
      <x:c r="H15" s="12" t="str">
        <x:v>Livrée</x:v>
      </x:c>
      <x:c r="I15" s="12" t="str">
        <x:v>Chloé</x:v>
      </x:c>
      <x:c r="J15" s="12" t="str">
        <x:v>Partenaire</x:v>
      </x:c>
    </x:row>
    <x:row r="16">
      <x:c r="A16" s="17" t="n">
        <x:v>46100</x:v>
      </x:c>
      <x:c r="B16" s="12" t="str">
        <x:v>CMD-1015</x:v>
      </x:c>
      <x:c r="C16" s="9" t="str">
        <x:v>Epsilon Lab</x:v>
      </x:c>
      <x:c r="D16" s="9" t="str">
        <x:v>Clavier Pro</x:v>
      </x:c>
      <x:c r="E16" s="18" t="n">
        <x:v>3</x:v>
      </x:c>
      <x:c r="F16" s="10" t="n">
        <x:f>E16*INDEX(Inventory!$C$2:$C$13,MATCH(D16,Inventory!$A$2:$A$13,0))</x:f>
        <x:v>267</x:v>
      </x:c>
      <x:c r="G16" s="10" t="n">
        <x:f>F16-E16*INDEX(Inventory!$D$2:$D$13,MATCH(D16,Inventory!$A$2:$A$13,0))</x:f>
        <x:v>129</x:v>
      </x:c>
      <x:c r="H16" s="12" t="str">
        <x:v>Livrée</x:v>
      </x:c>
      <x:c r="I16" s="12" t="str">
        <x:v>David</x:v>
      </x:c>
      <x:c r="J16" s="12" t="str">
        <x:v>Web</x:v>
      </x:c>
    </x:row>
    <x:row r="17">
      <x:c r="A17" s="17" t="n">
        <x:v>46134</x:v>
      </x:c>
      <x:c r="B17" s="12" t="str">
        <x:v>CMD-1016</x:v>
      </x:c>
      <x:c r="C17" s="9" t="str">
        <x:v>Fjord Retail</x:v>
      </x:c>
      <x:c r="D17" s="9" t="str">
        <x:v>Webcam 4K</x:v>
      </x:c>
      <x:c r="E17" s="18" t="n">
        <x:v>2</x:v>
      </x:c>
      <x:c r="F17" s="10" t="n">
        <x:f>E17*INDEX(Inventory!$C$2:$C$13,MATCH(D17,Inventory!$A$2:$A$13,0))</x:f>
        <x:v>398</x:v>
      </x:c>
      <x:c r="G17" s="10" t="n">
        <x:f>F17-E17*INDEX(Inventory!$D$2:$D$13,MATCH(D17,Inventory!$A$2:$A$13,0))</x:f>
        <x:v>162</x:v>
      </x:c>
      <x:c r="H17" s="12" t="str">
        <x:v>Retard</x:v>
      </x:c>
      <x:c r="I17" s="12" t="str">
        <x:v>Alice</x:v>
      </x:c>
      <x:c r="J17" s="12" t="str">
        <x:v>Direct</x:v>
      </x:c>
    </x:row>
    <x:row r="18">
      <x:c r="A18" s="17" t="n">
        <x:v>46167</x:v>
      </x:c>
      <x:c r="B18" s="12" t="str">
        <x:v>CMD-1017</x:v>
      </x:c>
      <x:c r="C18" s="9" t="str">
        <x:v>Gaïa Services</x:v>
      </x:c>
      <x:c r="D18" s="9" t="str">
        <x:v>SSD 2 To</x:v>
      </x:c>
      <x:c r="E18" s="18" t="n">
        <x:v>1</x:v>
      </x:c>
      <x:c r="F18" s="10" t="n">
        <x:f>E18*INDEX(Inventory!$C$2:$C$13,MATCH(D18,Inventory!$A$2:$A$13,0))</x:f>
        <x:v>189</x:v>
      </x:c>
      <x:c r="G18" s="10" t="n">
        <x:f>F18-E18*INDEX(Inventory!$D$2:$D$13,MATCH(D18,Inventory!$A$2:$A$13,0))</x:f>
        <x:v>66</x:v>
      </x:c>
      <x:c r="H18" s="12" t="str">
        <x:v>En préparation</x:v>
      </x:c>
      <x:c r="I18" s="12" t="str">
        <x:v>Benoît</x:v>
      </x:c>
      <x:c r="J18" s="12" t="str">
        <x:v>Partenaire</x:v>
      </x:c>
    </x:row>
    <x:row r="19">
      <x:c r="A19" s="17" t="n">
        <x:v>46176</x:v>
      </x:c>
      <x:c r="B19" s="12" t="str">
        <x:v>CMD-1018</x:v>
      </x:c>
      <x:c r="C19" s="9" t="str">
        <x:v>Helios Tech</x:v>
      </x:c>
      <x:c r="D19" s="9" t="str">
        <x:v>Dock USB-C</x:v>
      </x:c>
      <x:c r="E19" s="18" t="n">
        <x:v>8</x:v>
      </x:c>
      <x:c r="F19" s="10" t="n">
        <x:f>E19*INDEX(Inventory!$C$2:$C$13,MATCH(D19,Inventory!$A$2:$A$13,0))</x:f>
        <x:v>1272</x:v>
      </x:c>
      <x:c r="G19" s="10" t="n">
        <x:f>F19-E19*INDEX(Inventory!$D$2:$D$13,MATCH(D19,Inventory!$A$2:$A$13,0))</x:f>
        <x:v>544</x:v>
      </x:c>
      <x:c r="H19" s="12" t="str">
        <x:v>En cours</x:v>
      </x:c>
      <x:c r="I19" s="12" t="str">
        <x:v>Chloé</x:v>
      </x:c>
      <x:c r="J19" s="12" t="str">
        <x:v>Web</x:v>
      </x:c>
    </x:row>
    <x:row r="20">
      <x:c r="A20" s="17" t="n">
        <x:v>46028</x:v>
      </x:c>
      <x:c r="B20" s="12" t="str">
        <x:v>CMD-1019</x:v>
      </x:c>
      <x:c r="C20" s="9" t="str">
        <x:v>Iris Finance</x:v>
      </x:c>
      <x:c r="D20" s="9" t="str">
        <x:v>Micro Studio</x:v>
      </x:c>
      <x:c r="E20" s="18" t="n">
        <x:v>7</x:v>
      </x:c>
      <x:c r="F20" s="10" t="n">
        <x:f>E20*INDEX(Inventory!$C$2:$C$13,MATCH(D20,Inventory!$A$2:$A$13,0))</x:f>
        <x:v>1253</x:v>
      </x:c>
      <x:c r="G20" s="10" t="n">
        <x:f>F20-E20*INDEX(Inventory!$D$2:$D$13,MATCH(D20,Inventory!$A$2:$A$13,0))</x:f>
        <x:v>539</x:v>
      </x:c>
      <x:c r="H20" s="12" t="str">
        <x:v>Livrée</x:v>
      </x:c>
      <x:c r="I20" s="12" t="str">
        <x:v>David</x:v>
      </x:c>
      <x:c r="J20" s="12" t="str">
        <x:v>Direct</x:v>
      </x:c>
    </x:row>
    <x:row r="21">
      <x:c r="A21" s="17" t="n">
        <x:v>46062</x:v>
      </x:c>
      <x:c r="B21" s="12" t="str">
        <x:v>CMD-1020</x:v>
      </x:c>
      <x:c r="C21" s="9" t="str">
        <x:v>Juniper Design</x:v>
      </x:c>
      <x:c r="D21" s="9" t="str">
        <x:v>Souris Ergo</x:v>
      </x:c>
      <x:c r="E21" s="18" t="n">
        <x:v>6</x:v>
      </x:c>
      <x:c r="F21" s="10" t="n">
        <x:f>E21*INDEX(Inventory!$C$2:$C$13,MATCH(D21,Inventory!$A$2:$A$13,0))</x:f>
        <x:v>414</x:v>
      </x:c>
      <x:c r="G21" s="10" t="n">
        <x:f>F21-E21*INDEX(Inventory!$D$2:$D$13,MATCH(D21,Inventory!$A$2:$A$13,0))</x:f>
        <x:v>228</x:v>
      </x:c>
      <x:c r="H21" s="12" t="str">
        <x:v>Retard</x:v>
      </x:c>
      <x:c r="I21" s="12" t="str">
        <x:v>Alice</x:v>
      </x:c>
      <x:c r="J21" s="12" t="str">
        <x:v>Partenaire</x:v>
      </x:c>
    </x:row>
    <x:row r="22">
      <x:c r="A22" s="17" t="n">
        <x:v>46093</x:v>
      </x:c>
      <x:c r="B22" s="12" t="str">
        <x:v>CMD-1021</x:v>
      </x:c>
      <x:c r="C22" s="9" t="str">
        <x:v>Alpina Conseil</x:v>
      </x:c>
      <x:c r="D22" s="9" t="str">
        <x:v>Laptop Stand</x:v>
      </x:c>
      <x:c r="E22" s="18" t="n">
        <x:v>5</x:v>
      </x:c>
      <x:c r="F22" s="10" t="n">
        <x:f>E22*INDEX(Inventory!$C$2:$C$13,MATCH(D22,Inventory!$A$2:$A$13,0))</x:f>
        <x:v>395</x:v>
      </x:c>
      <x:c r="G22" s="10" t="n">
        <x:f>F22-E22*INDEX(Inventory!$D$2:$D$13,MATCH(D22,Inventory!$A$2:$A$13,0))</x:f>
        <x:v>220</x:v>
      </x:c>
      <x:c r="H22" s="12" t="str">
        <x:v>En préparation</x:v>
      </x:c>
      <x:c r="I22" s="12" t="str">
        <x:v>Benoît</x:v>
      </x:c>
      <x:c r="J22" s="12" t="str">
        <x:v>Web</x:v>
      </x:c>
    </x:row>
    <x:row r="23">
      <x:c r="A23" s="17" t="n">
        <x:v>46127</x:v>
      </x:c>
      <x:c r="B23" s="12" t="str">
        <x:v>CMD-1022</x:v>
      </x:c>
      <x:c r="C23" s="9" t="str">
        <x:v>Boreal Santé</x:v>
      </x:c>
      <x:c r="D23" s="9" t="str">
        <x:v>Routeur Wi-Fi 7</x:v>
      </x:c>
      <x:c r="E23" s="18" t="n">
        <x:v>4</x:v>
      </x:c>
      <x:c r="F23" s="10" t="n">
        <x:f>E23*INDEX(Inventory!$C$2:$C$13,MATCH(D23,Inventory!$A$2:$A$13,0))</x:f>
        <x:v>1196</x:v>
      </x:c>
      <x:c r="G23" s="10" t="n">
        <x:f>F23-E23*INDEX(Inventory!$D$2:$D$13,MATCH(D23,Inventory!$A$2:$A$13,0))</x:f>
        <x:v>452</x:v>
      </x:c>
      <x:c r="H23" s="12" t="str">
        <x:v>En préparation</x:v>
      </x:c>
      <x:c r="I23" s="12" t="str">
        <x:v>Chloé</x:v>
      </x:c>
      <x:c r="J23" s="12" t="str">
        <x:v>Direct</x:v>
      </x:c>
    </x:row>
    <x:row r="24">
      <x:c r="A24" s="17" t="n">
        <x:v>46160</x:v>
      </x:c>
      <x:c r="B24" s="12" t="str">
        <x:v>CMD-1023</x:v>
      </x:c>
      <x:c r="C24" s="9" t="str">
        <x:v>Cirrus Media</x:v>
      </x:c>
      <x:c r="D24" s="9" t="str">
        <x:v>Casque ANC</x:v>
      </x:c>
      <x:c r="E24" s="18" t="n">
        <x:v>3</x:v>
      </x:c>
      <x:c r="F24" s="10" t="n">
        <x:f>E24*INDEX(Inventory!$C$2:$C$13,MATCH(D24,Inventory!$A$2:$A$13,0))</x:f>
        <x:v>687</x:v>
      </x:c>
      <x:c r="G24" s="10" t="n">
        <x:f>F24-E24*INDEX(Inventory!$D$2:$D$13,MATCH(D24,Inventory!$A$2:$A$13,0))</x:f>
        <x:v>303</x:v>
      </x:c>
      <x:c r="H24" s="12" t="str">
        <x:v>En cours</x:v>
      </x:c>
      <x:c r="I24" s="12" t="str">
        <x:v>David</x:v>
      </x:c>
      <x:c r="J24" s="12" t="str">
        <x:v>Partenaire</x:v>
      </x:c>
    </x:row>
    <x:row r="25">
      <x:c r="A25" s="17" t="n">
        <x:v>46194</x:v>
      </x:c>
      <x:c r="B25" s="12" t="str">
        <x:v>CMD-1024</x:v>
      </x:c>
      <x:c r="C25" s="9" t="str">
        <x:v>Delta Industrie</x:v>
      </x:c>
      <x:c r="D25" s="9" t="str">
        <x:v>Lampe Bureau</x:v>
      </x:c>
      <x:c r="E25" s="18" t="n">
        <x:v>2</x:v>
      </x:c>
      <x:c r="F25" s="10" t="n">
        <x:f>E25*INDEX(Inventory!$C$2:$C$13,MATCH(D25,Inventory!$A$2:$A$13,0))</x:f>
        <x:v>198</x:v>
      </x:c>
      <x:c r="G25" s="10" t="n">
        <x:f>F25-E25*INDEX(Inventory!$D$2:$D$13,MATCH(D25,Inventory!$A$2:$A$13,0))</x:f>
        <x:v>112</x:v>
      </x:c>
      <x:c r="H25" s="12" t="str">
        <x:v>Livrée</x:v>
      </x:c>
      <x:c r="I25" s="12" t="str">
        <x:v>Alice</x:v>
      </x:c>
      <x:c r="J25" s="12" t="str">
        <x:v>Web</x:v>
      </x:c>
    </x:row>
    <x:row r="26">
      <x:c r="A26" s="17" t="n">
        <x:v>46046</x:v>
      </x:c>
      <x:c r="B26" s="12" t="str">
        <x:v>CMD-1025</x:v>
      </x:c>
      <x:c r="C26" s="9" t="str">
        <x:v>Epsilon Lab</x:v>
      </x:c>
      <x:c r="D26" s="9" t="str">
        <x:v>Écran 27 pouces</x:v>
      </x:c>
      <x:c r="E26" s="18" t="n">
        <x:v>1</x:v>
      </x:c>
      <x:c r="F26" s="10" t="n">
        <x:f>E26*INDEX(Inventory!$C$2:$C$13,MATCH(D26,Inventory!$A$2:$A$13,0))</x:f>
        <x:v>349</x:v>
      </x:c>
      <x:c r="G26" s="10" t="n">
        <x:f>F26-E26*INDEX(Inventory!$D$2:$D$13,MATCH(D26,Inventory!$A$2:$A$13,0))</x:f>
        <x:v>137</x:v>
      </x:c>
      <x:c r="H26" s="12" t="str">
        <x:v>Retard</x:v>
      </x:c>
      <x:c r="I26" s="12" t="str">
        <x:v>Benoît</x:v>
      </x:c>
      <x:c r="J26" s="12" t="str">
        <x:v>Direct</x:v>
      </x:c>
    </x:row>
    <x:row r="27">
      <x:c r="A27" s="17" t="n">
        <x:v>46055</x:v>
      </x:c>
      <x:c r="B27" s="12" t="str">
        <x:v>CMD-1026</x:v>
      </x:c>
      <x:c r="C27" s="9" t="str">
        <x:v>Fjord Retail</x:v>
      </x:c>
      <x:c r="D27" s="9" t="str">
        <x:v>Hub 8 ports</x:v>
      </x:c>
      <x:c r="E27" s="18" t="n">
        <x:v>8</x:v>
      </x:c>
      <x:c r="F27" s="10" t="n">
        <x:f>E27*INDEX(Inventory!$C$2:$C$13,MATCH(D27,Inventory!$A$2:$A$13,0))</x:f>
        <x:v>952</x:v>
      </x:c>
      <x:c r="G27" s="10" t="n">
        <x:f>F27-E27*INDEX(Inventory!$D$2:$D$13,MATCH(D27,Inventory!$A$2:$A$13,0))</x:f>
        <x:v>440</x:v>
      </x:c>
      <x:c r="H27" s="12" t="str">
        <x:v>En préparation</x:v>
      </x:c>
      <x:c r="I27" s="12" t="str">
        <x:v>Chloé</x:v>
      </x:c>
      <x:c r="J27" s="12" t="str">
        <x:v>Partenaire</x:v>
      </x:c>
    </x:row>
    <x:row r="28">
      <x:c r="A28" s="17" t="n">
        <x:v>46086</x:v>
      </x:c>
      <x:c r="B28" s="12" t="str">
        <x:v>CMD-1027</x:v>
      </x:c>
      <x:c r="C28" s="9" t="str">
        <x:v>Gaïa Services</x:v>
      </x:c>
      <x:c r="D28" s="9" t="str">
        <x:v>Clavier Pro</x:v>
      </x:c>
      <x:c r="E28" s="18" t="n">
        <x:v>7</x:v>
      </x:c>
      <x:c r="F28" s="10" t="n">
        <x:f>E28*INDEX(Inventory!$C$2:$C$13,MATCH(D28,Inventory!$A$2:$A$13,0))</x:f>
        <x:v>623</x:v>
      </x:c>
      <x:c r="G28" s="10" t="n">
        <x:f>F28-E28*INDEX(Inventory!$D$2:$D$13,MATCH(D28,Inventory!$A$2:$A$13,0))</x:f>
        <x:v>301</x:v>
      </x:c>
      <x:c r="H28" s="12" t="str">
        <x:v>En cours</x:v>
      </x:c>
      <x:c r="I28" s="12" t="str">
        <x:v>David</x:v>
      </x:c>
      <x:c r="J28" s="12" t="str">
        <x:v>Web</x:v>
      </x:c>
    </x:row>
    <x:row r="29">
      <x:c r="A29" s="17" t="n">
        <x:v>46120</x:v>
      </x:c>
      <x:c r="B29" s="12" t="str">
        <x:v>CMD-1028</x:v>
      </x:c>
      <x:c r="C29" s="9" t="str">
        <x:v>Helios Tech</x:v>
      </x:c>
      <x:c r="D29" s="9" t="str">
        <x:v>Webcam 4K</x:v>
      </x:c>
      <x:c r="E29" s="18" t="n">
        <x:v>6</x:v>
      </x:c>
      <x:c r="F29" s="10" t="n">
        <x:f>E29*INDEX(Inventory!$C$2:$C$13,MATCH(D29,Inventory!$A$2:$A$13,0))</x:f>
        <x:v>1194</x:v>
      </x:c>
      <x:c r="G29" s="10" t="n">
        <x:f>F29-E29*INDEX(Inventory!$D$2:$D$13,MATCH(D29,Inventory!$A$2:$A$13,0))</x:f>
        <x:v>486</x:v>
      </x:c>
      <x:c r="H29" s="12" t="str">
        <x:v>Livrée</x:v>
      </x:c>
      <x:c r="I29" s="12" t="str">
        <x:v>Alice</x:v>
      </x:c>
      <x:c r="J29" s="12" t="str">
        <x:v>Direct</x:v>
      </x:c>
    </x:row>
    <x:row r="30">
      <x:c r="A30" s="17" t="n">
        <x:v>46153</x:v>
      </x:c>
      <x:c r="B30" s="12" t="str">
        <x:v>CMD-1029</x:v>
      </x:c>
      <x:c r="C30" s="9" t="str">
        <x:v>Iris Finance</x:v>
      </x:c>
      <x:c r="D30" s="9" t="str">
        <x:v>SSD 2 To</x:v>
      </x:c>
      <x:c r="E30" s="18" t="n">
        <x:v>5</x:v>
      </x:c>
      <x:c r="F30" s="10" t="n">
        <x:f>E30*INDEX(Inventory!$C$2:$C$13,MATCH(D30,Inventory!$A$2:$A$13,0))</x:f>
        <x:v>945</x:v>
      </x:c>
      <x:c r="G30" s="10" t="n">
        <x:f>F30-E30*INDEX(Inventory!$D$2:$D$13,MATCH(D30,Inventory!$A$2:$A$13,0))</x:f>
        <x:v>330</x:v>
      </x:c>
      <x:c r="H30" s="12" t="str">
        <x:v>Livrée</x:v>
      </x:c>
      <x:c r="I30" s="12" t="str">
        <x:v>Benoît</x:v>
      </x:c>
      <x:c r="J30" s="12" t="str">
        <x:v>Partenaire</x:v>
      </x:c>
    </x:row>
    <x:row r="31">
      <x:c r="A31" s="17" t="n">
        <x:v>46187</x:v>
      </x:c>
      <x:c r="B31" s="12" t="str">
        <x:v>CMD-1030</x:v>
      </x:c>
      <x:c r="C31" s="9" t="str">
        <x:v>Juniper Design</x:v>
      </x:c>
      <x:c r="D31" s="9" t="str">
        <x:v>Dock USB-C</x:v>
      </x:c>
      <x:c r="E31" s="18" t="n">
        <x:v>4</x:v>
      </x:c>
      <x:c r="F31" s="10" t="n">
        <x:f>E31*INDEX(Inventory!$C$2:$C$13,MATCH(D31,Inventory!$A$2:$A$13,0))</x:f>
        <x:v>636</x:v>
      </x:c>
      <x:c r="G31" s="10" t="n">
        <x:f>F31-E31*INDEX(Inventory!$D$2:$D$13,MATCH(D31,Inventory!$A$2:$A$13,0))</x:f>
        <x:v>272</x:v>
      </x:c>
      <x:c r="H31" s="12" t="str">
        <x:v>Retard</x:v>
      </x:c>
      <x:c r="I31" s="12" t="str">
        <x:v>Chloé</x:v>
      </x:c>
      <x:c r="J31" s="12" t="str">
        <x:v>Web</x:v>
      </x:c>
    </x:row>
    <x:row r="32">
      <x:c r="A32" s="17" t="n">
        <x:v>46039</x:v>
      </x:c>
      <x:c r="B32" s="12" t="str">
        <x:v>CMD-1031</x:v>
      </x:c>
      <x:c r="C32" s="9" t="str">
        <x:v>Alpina Conseil</x:v>
      </x:c>
      <x:c r="D32" s="9" t="str">
        <x:v>Micro Studio</x:v>
      </x:c>
      <x:c r="E32" s="18" t="n">
        <x:v>3</x:v>
      </x:c>
      <x:c r="F32" s="10" t="n">
        <x:f>E32*INDEX(Inventory!$C$2:$C$13,MATCH(D32,Inventory!$A$2:$A$13,0))</x:f>
        <x:v>537</x:v>
      </x:c>
      <x:c r="G32" s="10" t="n">
        <x:f>F32-E32*INDEX(Inventory!$D$2:$D$13,MATCH(D32,Inventory!$A$2:$A$13,0))</x:f>
        <x:v>231</x:v>
      </x:c>
      <x:c r="H32" s="12" t="str">
        <x:v>En préparation</x:v>
      </x:c>
      <x:c r="I32" s="12" t="str">
        <x:v>David</x:v>
      </x:c>
      <x:c r="J32" s="12" t="str">
        <x:v>Direct</x:v>
      </x:c>
    </x:row>
    <x:row r="33">
      <x:c r="A33" s="17" t="n">
        <x:v>46073</x:v>
      </x:c>
      <x:c r="B33" s="12" t="str">
        <x:v>CMD-1032</x:v>
      </x:c>
      <x:c r="C33" s="9" t="str">
        <x:v>Boreal Santé</x:v>
      </x:c>
      <x:c r="D33" s="9" t="str">
        <x:v>Souris Ergo</x:v>
      </x:c>
      <x:c r="E33" s="18" t="n">
        <x:v>2</x:v>
      </x:c>
      <x:c r="F33" s="10" t="n">
        <x:f>E33*INDEX(Inventory!$C$2:$C$13,MATCH(D33,Inventory!$A$2:$A$13,0))</x:f>
        <x:v>138</x:v>
      </x:c>
      <x:c r="G33" s="10" t="n">
        <x:f>F33-E33*INDEX(Inventory!$D$2:$D$13,MATCH(D33,Inventory!$A$2:$A$13,0))</x:f>
        <x:v>76</x:v>
      </x:c>
      <x:c r="H33" s="12" t="str">
        <x:v>En cours</x:v>
      </x:c>
      <x:c r="I33" s="12" t="str">
        <x:v>Alice</x:v>
      </x:c>
      <x:c r="J33" s="12" t="str">
        <x:v>Partenaire</x:v>
      </x:c>
    </x:row>
    <x:row r="34">
      <x:c r="A34" s="17" t="n">
        <x:v>46104</x:v>
      </x:c>
      <x:c r="B34" s="12" t="str">
        <x:v>CMD-1033</x:v>
      </x:c>
      <x:c r="C34" s="9" t="str">
        <x:v>Cirrus Media</x:v>
      </x:c>
      <x:c r="D34" s="9" t="str">
        <x:v>Laptop Stand</x:v>
      </x:c>
      <x:c r="E34" s="18" t="n">
        <x:v>1</x:v>
      </x:c>
      <x:c r="F34" s="10" t="n">
        <x:f>E34*INDEX(Inventory!$C$2:$C$13,MATCH(D34,Inventory!$A$2:$A$13,0))</x:f>
        <x:v>79</x:v>
      </x:c>
      <x:c r="G34" s="10" t="n">
        <x:f>F34-E34*INDEX(Inventory!$D$2:$D$13,MATCH(D34,Inventory!$A$2:$A$13,0))</x:f>
        <x:v>44</x:v>
      </x:c>
      <x:c r="H34" s="12" t="str">
        <x:v>Livrée</x:v>
      </x:c>
      <x:c r="I34" s="12" t="str">
        <x:v>Benoît</x:v>
      </x:c>
      <x:c r="J34" s="12" t="str">
        <x:v>Web</x:v>
      </x:c>
    </x:row>
    <x:row r="35">
      <x:c r="A35" s="17" t="n">
        <x:v>46138</x:v>
      </x:c>
      <x:c r="B35" s="12" t="str">
        <x:v>CMD-1034</x:v>
      </x:c>
      <x:c r="C35" s="9" t="str">
        <x:v>Delta Industrie</x:v>
      </x:c>
      <x:c r="D35" s="9" t="str">
        <x:v>Routeur Wi-Fi 7</x:v>
      </x:c>
      <x:c r="E35" s="18" t="n">
        <x:v>8</x:v>
      </x:c>
      <x:c r="F35" s="10" t="n">
        <x:f>E35*INDEX(Inventory!$C$2:$C$13,MATCH(D35,Inventory!$A$2:$A$13,0))</x:f>
        <x:v>2392</x:v>
      </x:c>
      <x:c r="G35" s="10" t="n">
        <x:f>F35-E35*INDEX(Inventory!$D$2:$D$13,MATCH(D35,Inventory!$A$2:$A$13,0))</x:f>
        <x:v>904</x:v>
      </x:c>
      <x:c r="H35" s="12" t="str">
        <x:v>Retard</x:v>
      </x:c>
      <x:c r="I35" s="12" t="str">
        <x:v>Chloé</x:v>
      </x:c>
      <x:c r="J35" s="12" t="str">
        <x:v>Direct</x:v>
      </x:c>
    </x:row>
    <x:row r="36">
      <x:c r="A36" s="17" t="n">
        <x:v>46146</x:v>
      </x:c>
      <x:c r="B36" s="12" t="str">
        <x:v>CMD-1035</x:v>
      </x:c>
      <x:c r="C36" s="9" t="str">
        <x:v>Epsilon Lab</x:v>
      </x:c>
      <x:c r="D36" s="9" t="str">
        <x:v>Casque ANC</x:v>
      </x:c>
      <x:c r="E36" s="18" t="n">
        <x:v>7</x:v>
      </x:c>
      <x:c r="F36" s="10" t="n">
        <x:f>E36*INDEX(Inventory!$C$2:$C$13,MATCH(D36,Inventory!$A$2:$A$13,0))</x:f>
        <x:v>1603</x:v>
      </x:c>
      <x:c r="G36" s="10" t="n">
        <x:f>F36-E36*INDEX(Inventory!$D$2:$D$13,MATCH(D36,Inventory!$A$2:$A$13,0))</x:f>
        <x:v>707</x:v>
      </x:c>
      <x:c r="H36" s="12" t="str">
        <x:v>En préparation</x:v>
      </x:c>
      <x:c r="I36" s="12" t="str">
        <x:v>David</x:v>
      </x:c>
      <x:c r="J36" s="12" t="str">
        <x:v>Partenaire</x:v>
      </x:c>
    </x:row>
    <x:row r="37">
      <x:c r="A37" s="17" t="n">
        <x:v>46180</x:v>
      </x:c>
      <x:c r="B37" s="12" t="str">
        <x:v>CMD-1036</x:v>
      </x:c>
      <x:c r="C37" s="9" t="str">
        <x:v>Fjord Retail</x:v>
      </x:c>
      <x:c r="D37" s="9" t="str">
        <x:v>Lampe Bureau</x:v>
      </x:c>
      <x:c r="E37" s="18" t="n">
        <x:v>6</x:v>
      </x:c>
      <x:c r="F37" s="10" t="n">
        <x:f>E37*INDEX(Inventory!$C$2:$C$13,MATCH(D37,Inventory!$A$2:$A$13,0))</x:f>
        <x:v>594</x:v>
      </x:c>
      <x:c r="G37" s="10" t="n">
        <x:f>F37-E37*INDEX(Inventory!$D$2:$D$13,MATCH(D37,Inventory!$A$2:$A$13,0))</x:f>
        <x:v>336</x:v>
      </x:c>
      <x:c r="H37" s="12" t="str">
        <x:v>En préparation</x:v>
      </x:c>
      <x:c r="I37" s="12" t="str">
        <x:v>Alice</x:v>
      </x:c>
      <x:c r="J37" s="12" t="str">
        <x:v>Web</x:v>
      </x:c>
    </x:row>
    <x:row r="38">
      <x:c r="A38" s="17" t="n">
        <x:v>46032</x:v>
      </x:c>
      <x:c r="B38" s="12" t="str">
        <x:v>CMD-1037</x:v>
      </x:c>
      <x:c r="C38" s="9" t="str">
        <x:v>Gaïa Services</x:v>
      </x:c>
      <x:c r="D38" s="9" t="str">
        <x:v>Écran 27 pouces</x:v>
      </x:c>
      <x:c r="E38" s="18" t="n">
        <x:v>5</x:v>
      </x:c>
      <x:c r="F38" s="10" t="n">
        <x:f>E38*INDEX(Inventory!$C$2:$C$13,MATCH(D38,Inventory!$A$2:$A$13,0))</x:f>
        <x:v>1745</x:v>
      </x:c>
      <x:c r="G38" s="10" t="n">
        <x:f>F38-E38*INDEX(Inventory!$D$2:$D$13,MATCH(D38,Inventory!$A$2:$A$13,0))</x:f>
        <x:v>685</x:v>
      </x:c>
      <x:c r="H38" s="12" t="str">
        <x:v>En cours</x:v>
      </x:c>
      <x:c r="I38" s="12" t="str">
        <x:v>Benoît</x:v>
      </x:c>
      <x:c r="J38" s="12" t="str">
        <x:v>Direct</x:v>
      </x:c>
    </x:row>
    <x:row r="39">
      <x:c r="A39" s="17" t="n">
        <x:v>46066</x:v>
      </x:c>
      <x:c r="B39" s="12" t="str">
        <x:v>CMD-1038</x:v>
      </x:c>
      <x:c r="C39" s="9" t="str">
        <x:v>Helios Tech</x:v>
      </x:c>
      <x:c r="D39" s="9" t="str">
        <x:v>Hub 8 ports</x:v>
      </x:c>
      <x:c r="E39" s="18" t="n">
        <x:v>4</x:v>
      </x:c>
      <x:c r="F39" s="10" t="n">
        <x:f>E39*INDEX(Inventory!$C$2:$C$13,MATCH(D39,Inventory!$A$2:$A$13,0))</x:f>
        <x:v>476</x:v>
      </x:c>
      <x:c r="G39" s="10" t="n">
        <x:f>F39-E39*INDEX(Inventory!$D$2:$D$13,MATCH(D39,Inventory!$A$2:$A$13,0))</x:f>
        <x:v>220</x:v>
      </x:c>
      <x:c r="H39" s="12" t="str">
        <x:v>Livrée</x:v>
      </x:c>
      <x:c r="I39" s="12" t="str">
        <x:v>Chloé</x:v>
      </x:c>
      <x:c r="J39" s="12" t="str">
        <x:v>Partenaire</x:v>
      </x:c>
    </x:row>
    <x:row r="40">
      <x:c r="A40" s="17" t="n">
        <x:v>46097</x:v>
      </x:c>
      <x:c r="B40" s="12" t="str">
        <x:v>CMD-1039</x:v>
      </x:c>
      <x:c r="C40" s="9" t="str">
        <x:v>Iris Finance</x:v>
      </x:c>
      <x:c r="D40" s="9" t="str">
        <x:v>Clavier Pro</x:v>
      </x:c>
      <x:c r="E40" s="18" t="n">
        <x:v>3</x:v>
      </x:c>
      <x:c r="F40" s="10" t="n">
        <x:f>E40*INDEX(Inventory!$C$2:$C$13,MATCH(D40,Inventory!$A$2:$A$13,0))</x:f>
        <x:v>267</x:v>
      </x:c>
      <x:c r="G40" s="10" t="n">
        <x:f>F40-E40*INDEX(Inventory!$D$2:$D$13,MATCH(D40,Inventory!$A$2:$A$13,0))</x:f>
        <x:v>129</x:v>
      </x:c>
      <x:c r="H40" s="12" t="str">
        <x:v>Retard</x:v>
      </x:c>
      <x:c r="I40" s="12" t="str">
        <x:v>David</x:v>
      </x:c>
      <x:c r="J40" s="12" t="str">
        <x:v>Web</x:v>
      </x:c>
    </x:row>
    <x:row r="41">
      <x:c r="A41" s="17" t="n">
        <x:v>46131</x:v>
      </x:c>
      <x:c r="B41" s="12" t="str">
        <x:v>CMD-1040</x:v>
      </x:c>
      <x:c r="C41" s="9" t="str">
        <x:v>Juniper Design</x:v>
      </x:c>
      <x:c r="D41" s="9" t="str">
        <x:v>Webcam 4K</x:v>
      </x:c>
      <x:c r="E41" s="18" t="n">
        <x:v>2</x:v>
      </x:c>
      <x:c r="F41" s="10" t="n">
        <x:f>E41*INDEX(Inventory!$C$2:$C$13,MATCH(D41,Inventory!$A$2:$A$13,0))</x:f>
        <x:v>398</x:v>
      </x:c>
      <x:c r="G41" s="10" t="n">
        <x:f>F41-E41*INDEX(Inventory!$D$2:$D$13,MATCH(D41,Inventory!$A$2:$A$13,0))</x:f>
        <x:v>162</x:v>
      </x:c>
      <x:c r="H41" s="12" t="str">
        <x:v>En préparation</x:v>
      </x:c>
      <x:c r="I41" s="12" t="str">
        <x:v>Alice</x:v>
      </x:c>
      <x:c r="J41" s="12" t="str">
        <x:v>Direct</x:v>
      </x:c>
    </x:row>
    <x:row r="42">
      <x:c r="A42" s="17" t="n">
        <x:v>46164</x:v>
      </x:c>
      <x:c r="B42" s="12" t="str">
        <x:v>CMD-1041</x:v>
      </x:c>
      <x:c r="C42" s="9" t="str">
        <x:v>Alpina Conseil</x:v>
      </x:c>
      <x:c r="D42" s="9" t="str">
        <x:v>SSD 2 To</x:v>
      </x:c>
      <x:c r="E42" s="18" t="n">
        <x:v>1</x:v>
      </x:c>
      <x:c r="F42" s="10" t="n">
        <x:f>E42*INDEX(Inventory!$C$2:$C$13,MATCH(D42,Inventory!$A$2:$A$13,0))</x:f>
        <x:v>189</x:v>
      </x:c>
      <x:c r="G42" s="10" t="n">
        <x:f>F42-E42*INDEX(Inventory!$D$2:$D$13,MATCH(D42,Inventory!$A$2:$A$13,0))</x:f>
        <x:v>66</x:v>
      </x:c>
      <x:c r="H42" s="12" t="str">
        <x:v>En cours</x:v>
      </x:c>
      <x:c r="I42" s="12" t="str">
        <x:v>Benoît</x:v>
      </x:c>
      <x:c r="J42" s="12" t="str">
        <x:v>Partenaire</x:v>
      </x:c>
    </x:row>
    <x:row r="43">
      <x:c r="A43" s="17" t="n">
        <x:v>46198</x:v>
      </x:c>
      <x:c r="B43" s="12" t="str">
        <x:v>CMD-1042</x:v>
      </x:c>
      <x:c r="C43" s="9" t="str">
        <x:v>Boreal Santé</x:v>
      </x:c>
      <x:c r="D43" s="9" t="str">
        <x:v>Dock USB-C</x:v>
      </x:c>
      <x:c r="E43" s="18" t="n">
        <x:v>8</x:v>
      </x:c>
      <x:c r="F43" s="10" t="n">
        <x:f>E43*INDEX(Inventory!$C$2:$C$13,MATCH(D43,Inventory!$A$2:$A$13,0))</x:f>
        <x:v>1272</x:v>
      </x:c>
      <x:c r="G43" s="10" t="n">
        <x:f>F43-E43*INDEX(Inventory!$D$2:$D$13,MATCH(D43,Inventory!$A$2:$A$13,0))</x:f>
        <x:v>544</x:v>
      </x:c>
      <x:c r="H43" s="12" t="str">
        <x:v>Livrée</x:v>
      </x:c>
      <x:c r="I43" s="12" t="str">
        <x:v>Chloé</x:v>
      </x:c>
      <x:c r="J43" s="12" t="str">
        <x:v>Web</x:v>
      </x:c>
    </x:row>
    <x:row r="44">
      <x:c r="A44" s="17" t="n">
        <x:v>46025</x:v>
      </x:c>
      <x:c r="B44" s="12" t="str">
        <x:v>CMD-1043</x:v>
      </x:c>
      <x:c r="C44" s="9" t="str">
        <x:v>Cirrus Media</x:v>
      </x:c>
      <x:c r="D44" s="9" t="str">
        <x:v>Micro Studio</x:v>
      </x:c>
      <x:c r="E44" s="18" t="n">
        <x:v>7</x:v>
      </x:c>
      <x:c r="F44" s="10" t="n">
        <x:f>E44*INDEX(Inventory!$C$2:$C$13,MATCH(D44,Inventory!$A$2:$A$13,0))</x:f>
        <x:v>1253</x:v>
      </x:c>
      <x:c r="G44" s="10" t="n">
        <x:f>F44-E44*INDEX(Inventory!$D$2:$D$13,MATCH(D44,Inventory!$A$2:$A$13,0))</x:f>
        <x:v>539</x:v>
      </x:c>
      <x:c r="H44" s="12" t="str">
        <x:v>Livrée</x:v>
      </x:c>
      <x:c r="I44" s="12" t="str">
        <x:v>David</x:v>
      </x:c>
      <x:c r="J44" s="12" t="str">
        <x:v>Direct</x:v>
      </x:c>
    </x:row>
    <x:row r="45">
      <x:c r="A45" s="17" t="n">
        <x:v>46059</x:v>
      </x:c>
      <x:c r="B45" s="12" t="str">
        <x:v>CMD-1044</x:v>
      </x:c>
      <x:c r="C45" s="9" t="str">
        <x:v>Delta Industrie</x:v>
      </x:c>
      <x:c r="D45" s="9" t="str">
        <x:v>Souris Ergo</x:v>
      </x:c>
      <x:c r="E45" s="18" t="n">
        <x:v>6</x:v>
      </x:c>
      <x:c r="F45" s="10" t="n">
        <x:f>E45*INDEX(Inventory!$C$2:$C$13,MATCH(D45,Inventory!$A$2:$A$13,0))</x:f>
        <x:v>414</x:v>
      </x:c>
      <x:c r="G45" s="10" t="n">
        <x:f>F45-E45*INDEX(Inventory!$D$2:$D$13,MATCH(D45,Inventory!$A$2:$A$13,0))</x:f>
        <x:v>228</x:v>
      </x:c>
      <x:c r="H45" s="12" t="str">
        <x:v>Retard</x:v>
      </x:c>
      <x:c r="I45" s="12" t="str">
        <x:v>Alice</x:v>
      </x:c>
      <x:c r="J45" s="12" t="str">
        <x:v>Partenaire</x:v>
      </x:c>
    </x:row>
    <x:row r="46">
      <x:c r="A46" s="17" t="n">
        <x:v>46090</x:v>
      </x:c>
      <x:c r="B46" s="12" t="str">
        <x:v>CMD-1045</x:v>
      </x:c>
      <x:c r="C46" s="9" t="str">
        <x:v>Epsilon Lab</x:v>
      </x:c>
      <x:c r="D46" s="9" t="str">
        <x:v>Laptop Stand</x:v>
      </x:c>
      <x:c r="E46" s="18" t="n">
        <x:v>5</x:v>
      </x:c>
      <x:c r="F46" s="10" t="n">
        <x:f>E46*INDEX(Inventory!$C$2:$C$13,MATCH(D46,Inventory!$A$2:$A$13,0))</x:f>
        <x:v>395</x:v>
      </x:c>
      <x:c r="G46" s="10" t="n">
        <x:f>F46-E46*INDEX(Inventory!$D$2:$D$13,MATCH(D46,Inventory!$A$2:$A$13,0))</x:f>
        <x:v>220</x:v>
      </x:c>
      <x:c r="H46" s="12" t="str">
        <x:v>En préparation</x:v>
      </x:c>
      <x:c r="I46" s="12" t="str">
        <x:v>Benoît</x:v>
      </x:c>
      <x:c r="J46" s="12" t="str">
        <x:v>Web</x:v>
      </x:c>
    </x:row>
    <x:row r="47">
      <x:c r="A47" s="17" t="n">
        <x:v>46124</x:v>
      </x:c>
      <x:c r="B47" s="12" t="str">
        <x:v>CMD-1046</x:v>
      </x:c>
      <x:c r="C47" s="9" t="str">
        <x:v>Fjord Retail</x:v>
      </x:c>
      <x:c r="D47" s="9" t="str">
        <x:v>Routeur Wi-Fi 7</x:v>
      </x:c>
      <x:c r="E47" s="18" t="n">
        <x:v>4</x:v>
      </x:c>
      <x:c r="F47" s="10" t="n">
        <x:f>E47*INDEX(Inventory!$C$2:$C$13,MATCH(D47,Inventory!$A$2:$A$13,0))</x:f>
        <x:v>1196</x:v>
      </x:c>
      <x:c r="G47" s="10" t="n">
        <x:f>F47-E47*INDEX(Inventory!$D$2:$D$13,MATCH(D47,Inventory!$A$2:$A$13,0))</x:f>
        <x:v>452</x:v>
      </x:c>
      <x:c r="H47" s="12" t="str">
        <x:v>En cours</x:v>
      </x:c>
      <x:c r="I47" s="12" t="str">
        <x:v>Chloé</x:v>
      </x:c>
      <x:c r="J47" s="12" t="str">
        <x:v>Direct</x:v>
      </x:c>
    </x:row>
    <x:row r="48">
      <x:c r="A48" s="17" t="n">
        <x:v>46157</x:v>
      </x:c>
      <x:c r="B48" s="12" t="str">
        <x:v>CMD-1047</x:v>
      </x:c>
      <x:c r="C48" s="9" t="str">
        <x:v>Gaïa Services</x:v>
      </x:c>
      <x:c r="D48" s="9" t="str">
        <x:v>Casque ANC</x:v>
      </x:c>
      <x:c r="E48" s="18" t="n">
        <x:v>3</x:v>
      </x:c>
      <x:c r="F48" s="10" t="n">
        <x:f>E48*INDEX(Inventory!$C$2:$C$13,MATCH(D48,Inventory!$A$2:$A$13,0))</x:f>
        <x:v>687</x:v>
      </x:c>
      <x:c r="G48" s="10" t="n">
        <x:f>F48-E48*INDEX(Inventory!$D$2:$D$13,MATCH(D48,Inventory!$A$2:$A$13,0))</x:f>
        <x:v>303</x:v>
      </x:c>
      <x:c r="H48" s="12" t="str">
        <x:v>Livrée</x:v>
      </x:c>
      <x:c r="I48" s="12" t="str">
        <x:v>David</x:v>
      </x:c>
      <x:c r="J48" s="12" t="str">
        <x:v>Partenaire</x:v>
      </x:c>
    </x:row>
    <x:row r="49">
      <x:c r="A49" s="17" t="n">
        <x:v>46191</x:v>
      </x:c>
      <x:c r="B49" s="12" t="str">
        <x:v>CMD-1048</x:v>
      </x:c>
      <x:c r="C49" s="9" t="str">
        <x:v>Helios Tech</x:v>
      </x:c>
      <x:c r="D49" s="9" t="str">
        <x:v>Lampe Bureau</x:v>
      </x:c>
      <x:c r="E49" s="18" t="n">
        <x:v>2</x:v>
      </x:c>
      <x:c r="F49" s="10" t="n">
        <x:f>E49*INDEX(Inventory!$C$2:$C$13,MATCH(D49,Inventory!$A$2:$A$13,0))</x:f>
        <x:v>198</x:v>
      </x:c>
      <x:c r="G49" s="10" t="n">
        <x:f>F49-E49*INDEX(Inventory!$D$2:$D$13,MATCH(D49,Inventory!$A$2:$A$13,0))</x:f>
        <x:v>112</x:v>
      </x:c>
      <x:c r="H49" s="12" t="str">
        <x:v>Retard</x:v>
      </x:c>
      <x:c r="I49" s="12" t="str">
        <x:v>Alice</x:v>
      </x:c>
      <x:c r="J49" s="12" t="str">
        <x:v>Web</x:v>
      </x:c>
    </x:row>
    <x:row r="50">
      <x:c r="A50" s="17" t="n">
        <x:v>46043</x:v>
      </x:c>
      <x:c r="B50" s="12" t="str">
        <x:v>CMD-1049</x:v>
      </x:c>
      <x:c r="C50" s="9" t="str">
        <x:v>Iris Finance</x:v>
      </x:c>
      <x:c r="D50" s="9" t="str">
        <x:v>Écran 27 pouces</x:v>
      </x:c>
      <x:c r="E50" s="18" t="n">
        <x:v>1</x:v>
      </x:c>
      <x:c r="F50" s="10" t="n">
        <x:f>E50*INDEX(Inventory!$C$2:$C$13,MATCH(D50,Inventory!$A$2:$A$13,0))</x:f>
        <x:v>349</x:v>
      </x:c>
      <x:c r="G50" s="10" t="n">
        <x:f>F50-E50*INDEX(Inventory!$D$2:$D$13,MATCH(D50,Inventory!$A$2:$A$13,0))</x:f>
        <x:v>137</x:v>
      </x:c>
      <x:c r="H50" s="12" t="str">
        <x:v>En préparation</x:v>
      </x:c>
      <x:c r="I50" s="12" t="str">
        <x:v>Benoît</x:v>
      </x:c>
      <x:c r="J50" s="12" t="str">
        <x:v>Direct</x:v>
      </x:c>
    </x:row>
    <x:row r="51">
      <x:c r="A51" s="17" t="n">
        <x:v>46077</x:v>
      </x:c>
      <x:c r="B51" s="12" t="str">
        <x:v>CMD-1050</x:v>
      </x:c>
      <x:c r="C51" s="9" t="str">
        <x:v>Juniper Design</x:v>
      </x:c>
      <x:c r="D51" s="9" t="str">
        <x:v>Hub 8 ports</x:v>
      </x:c>
      <x:c r="E51" s="18" t="n">
        <x:v>8</x:v>
      </x:c>
      <x:c r="F51" s="10" t="n">
        <x:f>E51*INDEX(Inventory!$C$2:$C$13,MATCH(D51,Inventory!$A$2:$A$13,0))</x:f>
        <x:v>952</x:v>
      </x:c>
      <x:c r="G51" s="10" t="n">
        <x:f>F51-E51*INDEX(Inventory!$D$2:$D$13,MATCH(D51,Inventory!$A$2:$A$13,0))</x:f>
        <x:v>440</x:v>
      </x:c>
      <x:c r="H51" s="12" t="str">
        <x:v>En préparation</x:v>
      </x:c>
      <x:c r="I51" s="12" t="str">
        <x:v>Chloé</x:v>
      </x:c>
      <x:c r="J51" s="12" t="str">
        <x:v>Partenaire</x:v>
      </x:c>
    </x:row>
    <x:row r="52">
      <x:c r="A52" s="17" t="n">
        <x:v>46083</x:v>
      </x:c>
      <x:c r="B52" s="12" t="str">
        <x:v>CMD-1051</x:v>
      </x:c>
      <x:c r="C52" s="9" t="str">
        <x:v>Alpina Conseil</x:v>
      </x:c>
      <x:c r="D52" s="9" t="str">
        <x:v>Clavier Pro</x:v>
      </x:c>
      <x:c r="E52" s="18" t="n">
        <x:v>7</x:v>
      </x:c>
      <x:c r="F52" s="10" t="n">
        <x:f>E52*INDEX(Inventory!$C$2:$C$13,MATCH(D52,Inventory!$A$2:$A$13,0))</x:f>
        <x:v>623</x:v>
      </x:c>
      <x:c r="G52" s="10" t="n">
        <x:f>F52-E52*INDEX(Inventory!$D$2:$D$13,MATCH(D52,Inventory!$A$2:$A$13,0))</x:f>
        <x:v>301</x:v>
      </x:c>
      <x:c r="H52" s="12" t="str">
        <x:v>En cours</x:v>
      </x:c>
      <x:c r="I52" s="12" t="str">
        <x:v>David</x:v>
      </x:c>
      <x:c r="J52" s="12" t="str">
        <x:v>Web</x:v>
      </x:c>
    </x:row>
    <x:row r="53">
      <x:c r="A53" s="17" t="n">
        <x:v>46117</x:v>
      </x:c>
      <x:c r="B53" s="12" t="str">
        <x:v>CMD-1052</x:v>
      </x:c>
      <x:c r="C53" s="9" t="str">
        <x:v>Boreal Santé</x:v>
      </x:c>
      <x:c r="D53" s="9" t="str">
        <x:v>Webcam 4K</x:v>
      </x:c>
      <x:c r="E53" s="18" t="n">
        <x:v>6</x:v>
      </x:c>
      <x:c r="F53" s="10" t="n">
        <x:f>E53*INDEX(Inventory!$C$2:$C$13,MATCH(D53,Inventory!$A$2:$A$13,0))</x:f>
        <x:v>1194</x:v>
      </x:c>
      <x:c r="G53" s="10" t="n">
        <x:f>F53-E53*INDEX(Inventory!$D$2:$D$13,MATCH(D53,Inventory!$A$2:$A$13,0))</x:f>
        <x:v>486</x:v>
      </x:c>
      <x:c r="H53" s="12" t="str">
        <x:v>Livrée</x:v>
      </x:c>
      <x:c r="I53" s="12" t="str">
        <x:v>Alice</x:v>
      </x:c>
      <x:c r="J53" s="12" t="str">
        <x:v>Direct</x:v>
      </x:c>
    </x:row>
    <x:row r="54">
      <x:c r="A54" s="17" t="n">
        <x:v>46150</x:v>
      </x:c>
      <x:c r="B54" s="12" t="str">
        <x:v>CMD-1053</x:v>
      </x:c>
      <x:c r="C54" s="9" t="str">
        <x:v>Cirrus Media</x:v>
      </x:c>
      <x:c r="D54" s="9" t="str">
        <x:v>SSD 2 To</x:v>
      </x:c>
      <x:c r="E54" s="18" t="n">
        <x:v>5</x:v>
      </x:c>
      <x:c r="F54" s="10" t="n">
        <x:f>E54*INDEX(Inventory!$C$2:$C$13,MATCH(D54,Inventory!$A$2:$A$13,0))</x:f>
        <x:v>945</x:v>
      </x:c>
      <x:c r="G54" s="10" t="n">
        <x:f>F54-E54*INDEX(Inventory!$D$2:$D$13,MATCH(D54,Inventory!$A$2:$A$13,0))</x:f>
        <x:v>330</x:v>
      </x:c>
      <x:c r="H54" s="12" t="str">
        <x:v>Retard</x:v>
      </x:c>
      <x:c r="I54" s="12" t="str">
        <x:v>Benoît</x:v>
      </x:c>
      <x:c r="J54" s="12" t="str">
        <x:v>Partenaire</x:v>
      </x:c>
    </x:row>
    <x:row r="55">
      <x:c r="A55" s="17" t="n">
        <x:v>46184</x:v>
      </x:c>
      <x:c r="B55" s="12" t="str">
        <x:v>CMD-1054</x:v>
      </x:c>
      <x:c r="C55" s="9" t="str">
        <x:v>Delta Industrie</x:v>
      </x:c>
      <x:c r="D55" s="9" t="str">
        <x:v>Dock USB-C</x:v>
      </x:c>
      <x:c r="E55" s="18" t="n">
        <x:v>4</x:v>
      </x:c>
      <x:c r="F55" s="10" t="n">
        <x:f>E55*INDEX(Inventory!$C$2:$C$13,MATCH(D55,Inventory!$A$2:$A$13,0))</x:f>
        <x:v>636</x:v>
      </x:c>
      <x:c r="G55" s="10" t="n">
        <x:f>F55-E55*INDEX(Inventory!$D$2:$D$13,MATCH(D55,Inventory!$A$2:$A$13,0))</x:f>
        <x:v>272</x:v>
      </x:c>
      <x:c r="H55" s="12" t="str">
        <x:v>En préparation</x:v>
      </x:c>
      <x:c r="I55" s="12" t="str">
        <x:v>Chloé</x:v>
      </x:c>
      <x:c r="J55" s="12" t="str">
        <x:v>Web</x:v>
      </x:c>
    </x:row>
    <x:row r="56">
      <x:c r="A56" s="17" t="n">
        <x:v>46036</x:v>
      </x:c>
      <x:c r="B56" s="12" t="str">
        <x:v>CMD-1055</x:v>
      </x:c>
      <x:c r="C56" s="9" t="str">
        <x:v>Epsilon Lab</x:v>
      </x:c>
      <x:c r="D56" s="9" t="str">
        <x:v>Micro Studio</x:v>
      </x:c>
      <x:c r="E56" s="18" t="n">
        <x:v>3</x:v>
      </x:c>
      <x:c r="F56" s="10" t="n">
        <x:f>E56*INDEX(Inventory!$C$2:$C$13,MATCH(D56,Inventory!$A$2:$A$13,0))</x:f>
        <x:v>537</x:v>
      </x:c>
      <x:c r="G56" s="10" t="n">
        <x:f>F56-E56*INDEX(Inventory!$D$2:$D$13,MATCH(D56,Inventory!$A$2:$A$13,0))</x:f>
        <x:v>231</x:v>
      </x:c>
      <x:c r="H56" s="12" t="str">
        <x:v>En cours</x:v>
      </x:c>
      <x:c r="I56" s="12" t="str">
        <x:v>David</x:v>
      </x:c>
      <x:c r="J56" s="12" t="str">
        <x:v>Direct</x:v>
      </x:c>
    </x:row>
    <x:row r="57">
      <x:c r="A57" s="17" t="n">
        <x:v>46070</x:v>
      </x:c>
      <x:c r="B57" s="12" t="str">
        <x:v>CMD-1056</x:v>
      </x:c>
      <x:c r="C57" s="9" t="str">
        <x:v>Fjord Retail</x:v>
      </x:c>
      <x:c r="D57" s="9" t="str">
        <x:v>Souris Ergo</x:v>
      </x:c>
      <x:c r="E57" s="18" t="n">
        <x:v>2</x:v>
      </x:c>
      <x:c r="F57" s="10" t="n">
        <x:f>E57*INDEX(Inventory!$C$2:$C$13,MATCH(D57,Inventory!$A$2:$A$13,0))</x:f>
        <x:v>138</x:v>
      </x:c>
      <x:c r="G57" s="10" t="n">
        <x:f>F57-E57*INDEX(Inventory!$D$2:$D$13,MATCH(D57,Inventory!$A$2:$A$13,0))</x:f>
        <x:v>76</x:v>
      </x:c>
      <x:c r="H57" s="12" t="str">
        <x:v>Livrée</x:v>
      </x:c>
      <x:c r="I57" s="12" t="str">
        <x:v>Alice</x:v>
      </x:c>
      <x:c r="J57" s="12" t="str">
        <x:v>Partenaire</x:v>
      </x:c>
    </x:row>
    <x:row r="58">
      <x:c r="A58" s="17" t="n">
        <x:v>46101</x:v>
      </x:c>
      <x:c r="B58" s="12" t="str">
        <x:v>CMD-1057</x:v>
      </x:c>
      <x:c r="C58" s="9" t="str">
        <x:v>Gaïa Services</x:v>
      </x:c>
      <x:c r="D58" s="9" t="str">
        <x:v>Laptop Stand</x:v>
      </x:c>
      <x:c r="E58" s="18" t="n">
        <x:v>1</x:v>
      </x:c>
      <x:c r="F58" s="10" t="n">
        <x:f>E58*INDEX(Inventory!$C$2:$C$13,MATCH(D58,Inventory!$A$2:$A$13,0))</x:f>
        <x:v>79</x:v>
      </x:c>
      <x:c r="G58" s="10" t="n">
        <x:f>F58-E58*INDEX(Inventory!$D$2:$D$13,MATCH(D58,Inventory!$A$2:$A$13,0))</x:f>
        <x:v>44</x:v>
      </x:c>
      <x:c r="H58" s="12" t="str">
        <x:v>Livrée</x:v>
      </x:c>
      <x:c r="I58" s="12" t="str">
        <x:v>Benoît</x:v>
      </x:c>
      <x:c r="J58" s="12" t="str">
        <x:v>Web</x:v>
      </x:c>
    </x:row>
    <x:row r="59">
      <x:c r="A59" s="17" t="n">
        <x:v>46135</x:v>
      </x:c>
      <x:c r="B59" s="12" t="str">
        <x:v>CMD-1058</x:v>
      </x:c>
      <x:c r="C59" s="9" t="str">
        <x:v>Helios Tech</x:v>
      </x:c>
      <x:c r="D59" s="9" t="str">
        <x:v>Routeur Wi-Fi 7</x:v>
      </x:c>
      <x:c r="E59" s="18" t="n">
        <x:v>8</x:v>
      </x:c>
      <x:c r="F59" s="10" t="n">
        <x:f>E59*INDEX(Inventory!$C$2:$C$13,MATCH(D59,Inventory!$A$2:$A$13,0))</x:f>
        <x:v>2392</x:v>
      </x:c>
      <x:c r="G59" s="10" t="n">
        <x:f>F59-E59*INDEX(Inventory!$D$2:$D$13,MATCH(D59,Inventory!$A$2:$A$13,0))</x:f>
        <x:v>904</x:v>
      </x:c>
      <x:c r="H59" s="12" t="str">
        <x:v>Retard</x:v>
      </x:c>
      <x:c r="I59" s="12" t="str">
        <x:v>Chloé</x:v>
      </x:c>
      <x:c r="J59" s="12" t="str">
        <x:v>Direct</x:v>
      </x:c>
    </x:row>
    <x:row r="60">
      <x:c r="A60" s="17" t="n">
        <x:v>46168</x:v>
      </x:c>
      <x:c r="B60" s="12" t="str">
        <x:v>CMD-1059</x:v>
      </x:c>
      <x:c r="C60" s="9" t="str">
        <x:v>Iris Finance</x:v>
      </x:c>
      <x:c r="D60" s="9" t="str">
        <x:v>Casque ANC</x:v>
      </x:c>
      <x:c r="E60" s="18" t="n">
        <x:v>7</x:v>
      </x:c>
      <x:c r="F60" s="10" t="n">
        <x:f>E60*INDEX(Inventory!$C$2:$C$13,MATCH(D60,Inventory!$A$2:$A$13,0))</x:f>
        <x:v>1603</x:v>
      </x:c>
      <x:c r="G60" s="10" t="n">
        <x:f>F60-E60*INDEX(Inventory!$D$2:$D$13,MATCH(D60,Inventory!$A$2:$A$13,0))</x:f>
        <x:v>707</x:v>
      </x:c>
      <x:c r="H60" s="12" t="str">
        <x:v>En préparation</x:v>
      </x:c>
      <x:c r="I60" s="12" t="str">
        <x:v>David</x:v>
      </x:c>
      <x:c r="J60" s="12" t="str">
        <x:v>Partenaire</x:v>
      </x:c>
    </x:row>
    <x:row r="61">
      <x:c r="A61" s="17" t="n">
        <x:v>46177</x:v>
      </x:c>
      <x:c r="B61" s="12" t="str">
        <x:v>CMD-1060</x:v>
      </x:c>
      <x:c r="C61" s="9" t="str">
        <x:v>Juniper Design</x:v>
      </x:c>
      <x:c r="D61" s="9" t="str">
        <x:v>Lampe Bureau</x:v>
      </x:c>
      <x:c r="E61" s="18" t="n">
        <x:v>6</x:v>
      </x:c>
      <x:c r="F61" s="10" t="n">
        <x:f>E61*INDEX(Inventory!$C$2:$C$13,MATCH(D61,Inventory!$A$2:$A$13,0))</x:f>
        <x:v>594</x:v>
      </x:c>
      <x:c r="G61" s="10" t="n">
        <x:f>F61-E61*INDEX(Inventory!$D$2:$D$13,MATCH(D61,Inventory!$A$2:$A$13,0))</x:f>
        <x:v>336</x:v>
      </x:c>
      <x:c r="H61" s="12" t="str">
        <x:v>En cours</x:v>
      </x:c>
      <x:c r="I61" s="12" t="str">
        <x:v>Alice</x:v>
      </x:c>
      <x:c r="J61" s="12" t="str">
        <x:v>Web</x:v>
      </x:c>
    </x:row>
  </x:sheetData>
  <x:conditionalFormatting sqref="G2:G61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H2:H61">
    <x:cfRule type="containsText" dxfId="1" priority="2" operator="containsText" text="Livrée"/>
    <x:cfRule type="containsText" dxfId="2" priority="3" operator="containsText" text="Retard"/>
  </x:conditionalFormatting>
  <x:dataValidations count="4">
    <x:dataValidation type="list" sqref="D2:D61">
      <x:formula1>Inventory!$A$2:$A$13</x:formula1>
    </x:dataValidation>
    <x:dataValidation type="list" sqref="H2:H61">
      <x:formula1>Settings!$A$2:$A$5</x:formula1>
    </x:dataValidation>
    <x:dataValidation type="list" sqref="I2:I61">
      <x:formula1>Settings!$B$2:$B$5</x:formula1>
    </x:dataValidation>
    <x:dataValidation type="list" sqref="J2:J61">
      <x:formula1>Settings!$C$2:$C$4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e55bb55bcb49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0.630000114440918" hidden="0" customWidth="1"/>
    <x:col min="4" max="4" width="13" hidden="0" customWidth="1"/>
    <x:col min="5" max="5" width="7.130000114440918" hidden="0" customWidth="1"/>
    <x:col min="6" max="6" width="12.380000114440918" hidden="0" customWidth="1"/>
    <x:col min="7" max="7" width="13.630000114440918" hidden="0" customWidth="1"/>
    <x:col min="8" max="8" width="17" hidden="0" customWidth="1"/>
  </x:cols>
  <x:sheetData>
    <x:row r="1" ht="28" customHeight="1">
      <x:c r="A1" s="6" t="str">
        <x:v>Produit</x:v>
      </x:c>
      <x:c r="B1" s="6" t="str">
        <x:v>Catégorie</x:v>
      </x:c>
      <x:c r="C1" s="6" t="str">
        <x:v>Prix vente</x:v>
      </x:c>
      <x:c r="D1" s="6" t="str">
        <x:v>Coût unitaire</x:v>
      </x:c>
      <x:c r="E1" s="6" t="str">
        <x:v>Stock</x:v>
      </x:c>
      <x:c r="F1" s="6" t="str">
        <x:v>Valeur stock</x:v>
      </x:c>
      <x:c r="G1" s="6" t="str">
        <x:v>Seuil réappro.</x:v>
      </x:c>
      <x:c r="H1" s="6" t="str">
        <x:v>Fournisseur</x:v>
      </x:c>
    </x:row>
    <x:row r="2">
      <x:c r="A2" s="9" t="str">
        <x:v>Clavier Pro</x:v>
      </x:c>
      <x:c r="B2" s="9" t="str">
        <x:v>Périphériques</x:v>
      </x:c>
      <x:c r="C2" s="10" t="n">
        <x:v>89</x:v>
      </x:c>
      <x:c r="D2" s="10" t="n">
        <x:v>46</x:v>
      </x:c>
      <x:c r="E2" s="12" t="n">
        <x:v>64</x:v>
      </x:c>
      <x:c r="F2" s="13" t="n">
        <x:f>D2*E2</x:f>
        <x:v>2944</x:v>
      </x:c>
      <x:c r="G2" s="12" t="n">
        <x:v>20</x:v>
      </x:c>
      <x:c r="H2" s="9" t="str">
        <x:v>Nova Supply</x:v>
      </x:c>
    </x:row>
    <x:row r="3">
      <x:c r="A3" s="9" t="str">
        <x:v>Souris Ergo</x:v>
      </x:c>
      <x:c r="B3" s="9" t="str">
        <x:v>Périphériques</x:v>
      </x:c>
      <x:c r="C3" s="10" t="n">
        <x:v>69</x:v>
      </x:c>
      <x:c r="D3" s="10" t="n">
        <x:v>31</x:v>
      </x:c>
      <x:c r="E3" s="12" t="n">
        <x:v>42</x:v>
      </x:c>
      <x:c r="F3" s="13" t="n">
        <x:f>D3*E3</x:f>
        <x:v>1302</x:v>
      </x:c>
      <x:c r="G3" s="12" t="n">
        <x:v>18</x:v>
      </x:c>
      <x:c r="H3" s="9" t="str">
        <x:v>Nova Supply</x:v>
      </x:c>
    </x:row>
    <x:row r="4">
      <x:c r="A4" s="9" t="str">
        <x:v>Écran 27 pouces</x:v>
      </x:c>
      <x:c r="B4" s="9" t="str">
        <x:v>Moniteurs</x:v>
      </x:c>
      <x:c r="C4" s="10" t="n">
        <x:v>349</x:v>
      </x:c>
      <x:c r="D4" s="10" t="n">
        <x:v>212</x:v>
      </x:c>
      <x:c r="E4" s="12" t="n">
        <x:v>18</x:v>
      </x:c>
      <x:c r="F4" s="13" t="n">
        <x:f>D4*E4</x:f>
        <x:v>3816</x:v>
      </x:c>
      <x:c r="G4" s="12" t="n">
        <x:v>10</x:v>
      </x:c>
      <x:c r="H4" s="9" t="str">
        <x:v>VisionTech</x:v>
      </x:c>
    </x:row>
    <x:row r="5">
      <x:c r="A5" s="9" t="str">
        <x:v>Dock USB-C</x:v>
      </x:c>
      <x:c r="B5" s="9" t="str">
        <x:v>Connectique</x:v>
      </x:c>
      <x:c r="C5" s="10" t="n">
        <x:v>159</x:v>
      </x:c>
      <x:c r="D5" s="10" t="n">
        <x:v>91</x:v>
      </x:c>
      <x:c r="E5" s="12" t="n">
        <x:v>26</x:v>
      </x:c>
      <x:c r="F5" s="13" t="n">
        <x:f>D5*E5</x:f>
        <x:v>2366</x:v>
      </x:c>
      <x:c r="G5" s="12" t="n">
        <x:v>12</x:v>
      </x:c>
      <x:c r="H5" s="9" t="str">
        <x:v>LinkWorks</x:v>
      </x:c>
    </x:row>
    <x:row r="6">
      <x:c r="A6" s="9" t="str">
        <x:v>Casque ANC</x:v>
      </x:c>
      <x:c r="B6" s="9" t="str">
        <x:v>Audio</x:v>
      </x:c>
      <x:c r="C6" s="10" t="n">
        <x:v>229</x:v>
      </x:c>
      <x:c r="D6" s="10" t="n">
        <x:v>128</x:v>
      </x:c>
      <x:c r="E6" s="12" t="n">
        <x:v>33</x:v>
      </x:c>
      <x:c r="F6" s="13" t="n">
        <x:f>D6*E6</x:f>
        <x:v>4224</x:v>
      </x:c>
      <x:c r="G6" s="12" t="n">
        <x:v>14</x:v>
      </x:c>
      <x:c r="H6" s="9" t="str">
        <x:v>SonicPro</x:v>
      </x:c>
    </x:row>
    <x:row r="7">
      <x:c r="A7" s="9" t="str">
        <x:v>Webcam 4K</x:v>
      </x:c>
      <x:c r="B7" s="9" t="str">
        <x:v>Vidéo</x:v>
      </x:c>
      <x:c r="C7" s="10" t="n">
        <x:v>199</x:v>
      </x:c>
      <x:c r="D7" s="10" t="n">
        <x:v>118</x:v>
      </x:c>
      <x:c r="E7" s="12" t="n">
        <x:v>21</x:v>
      </x:c>
      <x:c r="F7" s="13" t="n">
        <x:f>D7*E7</x:f>
        <x:v>2478</x:v>
      </x:c>
      <x:c r="G7" s="12" t="n">
        <x:v>10</x:v>
      </x:c>
      <x:c r="H7" s="9" t="str">
        <x:v>VisionTech</x:v>
      </x:c>
    </x:row>
    <x:row r="8">
      <x:c r="A8" s="9" t="str">
        <x:v>Laptop Stand</x:v>
      </x:c>
      <x:c r="B8" s="9" t="str">
        <x:v>Mobilier</x:v>
      </x:c>
      <x:c r="C8" s="10" t="n">
        <x:v>79</x:v>
      </x:c>
      <x:c r="D8" s="10" t="n">
        <x:v>35</x:v>
      </x:c>
      <x:c r="E8" s="12" t="n">
        <x:v>55</x:v>
      </x:c>
      <x:c r="F8" s="13" t="n">
        <x:f>D8*E8</x:f>
        <x:v>1925</x:v>
      </x:c>
      <x:c r="G8" s="12" t="n">
        <x:v>20</x:v>
      </x:c>
      <x:c r="H8" s="9" t="str">
        <x:v>ErgoLab</x:v>
      </x:c>
    </x:row>
    <x:row r="9">
      <x:c r="A9" s="9" t="str">
        <x:v>Hub 8 ports</x:v>
      </x:c>
      <x:c r="B9" s="9" t="str">
        <x:v>Connectique</x:v>
      </x:c>
      <x:c r="C9" s="10" t="n">
        <x:v>119</x:v>
      </x:c>
      <x:c r="D9" s="10" t="n">
        <x:v>64</x:v>
      </x:c>
      <x:c r="E9" s="12" t="n">
        <x:v>37</x:v>
      </x:c>
      <x:c r="F9" s="13" t="n">
        <x:f>D9*E9</x:f>
        <x:v>2368</x:v>
      </x:c>
      <x:c r="G9" s="12" t="n">
        <x:v>16</x:v>
      </x:c>
      <x:c r="H9" s="9" t="str">
        <x:v>LinkWorks</x:v>
      </x:c>
    </x:row>
    <x:row r="10">
      <x:c r="A10" s="9" t="str">
        <x:v>Micro Studio</x:v>
      </x:c>
      <x:c r="B10" s="9" t="str">
        <x:v>Audio</x:v>
      </x:c>
      <x:c r="C10" s="10" t="n">
        <x:v>179</x:v>
      </x:c>
      <x:c r="D10" s="10" t="n">
        <x:v>102</x:v>
      </x:c>
      <x:c r="E10" s="12" t="n">
        <x:v>13</x:v>
      </x:c>
      <x:c r="F10" s="13" t="n">
        <x:f>D10*E10</x:f>
        <x:v>1326</x:v>
      </x:c>
      <x:c r="G10" s="12" t="n">
        <x:v>8</x:v>
      </x:c>
      <x:c r="H10" s="9" t="str">
        <x:v>SonicPro</x:v>
      </x:c>
    </x:row>
    <x:row r="11">
      <x:c r="A11" s="9" t="str">
        <x:v>Lampe Bureau</x:v>
      </x:c>
      <x:c r="B11" s="9" t="str">
        <x:v>Mobilier</x:v>
      </x:c>
      <x:c r="C11" s="10" t="n">
        <x:v>99</x:v>
      </x:c>
      <x:c r="D11" s="10" t="n">
        <x:v>43</x:v>
      </x:c>
      <x:c r="E11" s="12" t="n">
        <x:v>29</x:v>
      </x:c>
      <x:c r="F11" s="13" t="n">
        <x:f>D11*E11</x:f>
        <x:v>1247</x:v>
      </x:c>
      <x:c r="G11" s="12" t="n">
        <x:v>12</x:v>
      </x:c>
      <x:c r="H11" s="9" t="str">
        <x:v>ErgoLab</x:v>
      </x:c>
    </x:row>
    <x:row r="12">
      <x:c r="A12" s="9" t="str">
        <x:v>SSD 2 To</x:v>
      </x:c>
      <x:c r="B12" s="9" t="str">
        <x:v>Stockage</x:v>
      </x:c>
      <x:c r="C12" s="10" t="n">
        <x:v>189</x:v>
      </x:c>
      <x:c r="D12" s="10" t="n">
        <x:v>123</x:v>
      </x:c>
      <x:c r="E12" s="12" t="n">
        <x:v>17</x:v>
      </x:c>
      <x:c r="F12" s="13" t="n">
        <x:f>D12*E12</x:f>
        <x:v>2091</x:v>
      </x:c>
      <x:c r="G12" s="12" t="n">
        <x:v>10</x:v>
      </x:c>
      <x:c r="H12" s="9" t="str">
        <x:v>DataCore</x:v>
      </x:c>
    </x:row>
    <x:row r="13">
      <x:c r="A13" s="9" t="str">
        <x:v>Routeur Wi-Fi 7</x:v>
      </x:c>
      <x:c r="B13" s="9" t="str">
        <x:v>Réseau</x:v>
      </x:c>
      <x:c r="C13" s="10" t="n">
        <x:v>299</x:v>
      </x:c>
      <x:c r="D13" s="10" t="n">
        <x:v>186</x:v>
      </x:c>
      <x:c r="E13" s="12" t="n">
        <x:v>9</x:v>
      </x:c>
      <x:c r="F13" s="13" t="n">
        <x:f>D13*E13</x:f>
        <x:v>1674</x:v>
      </x:c>
      <x:c r="G13" s="12" t="n">
        <x:v>8</x:v>
      </x:c>
      <x:c r="H13" s="9" t="str">
        <x:v>NetAxis</x:v>
      </x:c>
    </x:row>
  </x:sheetData>
  <x:conditionalFormatting sqref="E2:E13">
    <x:cfRule type="expression" dxfId="0" priority="1">
      <x:formula>E2&lt;=G2</x:formula>
    </x:cfRule>
    <x:cfRule type="dataBar" priority="2">
      <x:dataBar>
        <x:cfvo type="min"/>
        <x:cfvo type="max"/>
        <x:color rgb="FF00A6A6"/>
      </x:dataBar>
      <x:extLst>
        <x:ext xmlns:x14="http://schemas.microsoft.com/office/spreadsheetml/2009/9/main" uri="{B025F937-C7B1-47D3-B67F-A62EFF666E3E}">
          <x14:id>{E4A4C70C-7566-4B70-9C13-9B5499FAA609}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cd2b2ccd3b54e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4A4C70C-7566-4B70-9C13-9B5499FAA609}">
            <x14:dataBar gradient="1">
              <x14:cfvo type="min"/>
              <x14:cfvo type="max"/>
              <x14:fillColor rgb="FF00A6A6"/>
            </x14:dataBar>
          </x14:cfRule>
          <xm:sqref>E2:E13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9.75" hidden="0" customWidth="1"/>
    <x:col min="4" max="4" width="11.880000114440918" hidden="0" customWidth="1"/>
    <x:col min="5" max="5" width="15.5" hidden="0" customWidth="1"/>
  </x:cols>
  <x:sheetData>
    <x:row r="1" ht="28" customHeight="1">
      <x:c r="A1" s="6" t="str">
        <x:v>Client</x:v>
      </x:c>
      <x:c r="B1" s="6" t="str">
        <x:v>Région</x:v>
      </x:c>
      <x:c r="C1" s="6" t="str">
        <x:v>Segment</x:v>
      </x:c>
      <x:c r="D1" s="6" t="str">
        <x:v>Satisfaction</x:v>
      </x:c>
      <x:c r="E1" s="6" t="str">
        <x:v>Chiffre d’affaires</x:v>
      </x:c>
    </x:row>
    <x:row r="2">
      <x:c r="A2" s="9" t="str">
        <x:v>Alpina Conseil</x:v>
      </x:c>
      <x:c r="B2" s="9" t="str">
        <x:v>Île-de-France</x:v>
      </x:c>
      <x:c r="C2" s="9" t="str">
        <x:v>Entreprise</x:v>
      </x:c>
      <x:c r="D2" s="14" t="n">
        <x:v>4.8</x:v>
      </x:c>
      <x:c r="E2" s="11" t="n">
        <x:f>SUMIF(Orders!$C$2:$C$61,A2,Orders!$F$2:$F$61)</x:f>
        <x:v>3696</x:v>
      </x:c>
    </x:row>
    <x:row r="3">
      <x:c r="A3" s="9" t="str">
        <x:v>Boreal Santé</x:v>
      </x:c>
      <x:c r="B3" s="9" t="str">
        <x:v>Auvergne-Rhône-Alpes</x:v>
      </x:c>
      <x:c r="C3" s="9" t="str">
        <x:v>Entreprise</x:v>
      </x:c>
      <x:c r="D3" s="14" t="n">
        <x:v>4.5</x:v>
      </x:c>
      <x:c r="E3" s="11" t="n">
        <x:f>SUMIF(Orders!$C$2:$C$61,A3,Orders!$F$2:$F$61)</x:f>
        <x:v>5346</x:v>
      </x:c>
    </x:row>
    <x:row r="4">
      <x:c r="A4" s="9" t="str">
        <x:v>Cirrus Media</x:v>
      </x:c>
      <x:c r="B4" s="9" t="str">
        <x:v>Occitanie</x:v>
      </x:c>
      <x:c r="C4" s="9" t="str">
        <x:v>PME</x:v>
      </x:c>
      <x:c r="D4" s="14" t="n">
        <x:v>4.2</x:v>
      </x:c>
      <x:c r="E4" s="11" t="n">
        <x:f>SUMIF(Orders!$C$2:$C$61,A4,Orders!$F$2:$F$61)</x:f>
        <x:v>5332</x:v>
      </x:c>
    </x:row>
    <x:row r="5">
      <x:c r="A5" s="9" t="str">
        <x:v>Delta Industrie</x:v>
      </x:c>
      <x:c r="B5" s="9" t="str">
        <x:v>Grand Est</x:v>
      </x:c>
      <x:c r="C5" s="9" t="str">
        <x:v>Entreprise</x:v>
      </x:c>
      <x:c r="D5" s="14" t="n">
        <x:v>4.6</x:v>
      </x:c>
      <x:c r="E5" s="11" t="n">
        <x:f>SUMIF(Orders!$C$2:$C$61,A5,Orders!$F$2:$F$61)</x:f>
        <x:v>5310</x:v>
      </x:c>
    </x:row>
    <x:row r="6">
      <x:c r="A6" s="9" t="str">
        <x:v>Epsilon Lab</x:v>
      </x:c>
      <x:c r="B6" s="9" t="str">
        <x:v>Bretagne</x:v>
      </x:c>
      <x:c r="C6" s="9" t="str">
        <x:v>Startup</x:v>
      </x:c>
      <x:c r="D6" s="14" t="n">
        <x:v>4.9</x:v>
      </x:c>
      <x:c r="E6" s="11" t="n">
        <x:f>SUMIF(Orders!$C$2:$C$61,A6,Orders!$F$2:$F$61)</x:f>
        <x:v>4096</x:v>
      </x:c>
    </x:row>
    <x:row r="7">
      <x:c r="A7" s="9" t="str">
        <x:v>Fjord Retail</x:v>
      </x:c>
      <x:c r="B7" s="9" t="str">
        <x:v>Hauts-de-France</x:v>
      </x:c>
      <x:c r="C7" s="9" t="str">
        <x:v>PME</x:v>
      </x:c>
      <x:c r="D7" s="14" t="n">
        <x:v>4.1</x:v>
      </x:c>
      <x:c r="E7" s="11" t="n">
        <x:f>SUMIF(Orders!$C$2:$C$61,A7,Orders!$F$2:$F$61)</x:f>
        <x:v>3914</x:v>
      </x:c>
    </x:row>
    <x:row r="8">
      <x:c r="A8" s="9" t="str">
        <x:v>Gaïa Services</x:v>
      </x:c>
      <x:c r="B8" s="9" t="str">
        <x:v>Nouvelle-Aquitaine</x:v>
      </x:c>
      <x:c r="C8" s="9" t="str">
        <x:v>PME</x:v>
      </x:c>
      <x:c r="D8" s="14" t="n">
        <x:v>4.4</x:v>
      </x:c>
      <x:c r="E8" s="11" t="n">
        <x:f>SUMIF(Orders!$C$2:$C$61,A8,Orders!$F$2:$F$61)</x:f>
        <x:v>3860</x:v>
      </x:c>
    </x:row>
    <x:row r="9">
      <x:c r="A9" s="9" t="str">
        <x:v>Helios Tech</x:v>
      </x:c>
      <x:c r="B9" s="9" t="str">
        <x:v>Provence-Alpes-Côte d'Azur</x:v>
      </x:c>
      <x:c r="C9" s="9" t="str">
        <x:v>Startup</x:v>
      </x:c>
      <x:c r="D9" s="14" t="n">
        <x:v>4.7</x:v>
      </x:c>
      <x:c r="E9" s="11" t="n">
        <x:f>SUMIF(Orders!$C$2:$C$61,A9,Orders!$F$2:$F$61)</x:f>
        <x:v>5670</x:v>
      </x:c>
    </x:row>
    <x:row r="10">
      <x:c r="A10" s="9" t="str">
        <x:v>Iris Finance</x:v>
      </x:c>
      <x:c r="B10" s="9" t="str">
        <x:v>Île-de-France</x:v>
      </x:c>
      <x:c r="C10" s="9" t="str">
        <x:v>Entreprise</x:v>
      </x:c>
      <x:c r="D10" s="14" t="n">
        <x:v>4.3</x:v>
      </x:c>
      <x:c r="E10" s="11" t="n">
        <x:f>SUMIF(Orders!$C$2:$C$61,A10,Orders!$F$2:$F$61)</x:f>
        <x:v>4496</x:v>
      </x:c>
    </x:row>
    <x:row r="11">
      <x:c r="A11" s="9" t="str">
        <x:v>Juniper Design</x:v>
      </x:c>
      <x:c r="B11" s="9" t="str">
        <x:v>Pays de la Loire</x:v>
      </x:c>
      <x:c r="C11" s="9" t="str">
        <x:v>Startup</x:v>
      </x:c>
      <x:c r="D11" s="14" t="n">
        <x:v>4.8</x:v>
      </x:c>
      <x:c r="E11" s="11" t="n">
        <x:f>SUMIF(Orders!$C$2:$C$61,A11,Orders!$F$2:$F$61)</x:f>
        <x:v>5386</x:v>
      </x:c>
    </x:row>
  </x:sheetData>
  <x:conditionalFormatting sqref="D2:D11">
    <x:cfRule type="colorScale" priority="1">
      <x:colorScale>
        <x:cfvo type="min"/>
        <x:cfvo type="percentile" val="50"/>
        <x:cfvo type="max"/>
        <x:color rgb="FFC00000"/>
        <x:color rgb="FFFFC000"/>
        <x:color rgb="FF70AD4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828eda643548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30000114440918" hidden="0" customWidth="1"/>
    <x:col min="2" max="2" width="10.880000114440918" hidden="0" customWidth="1"/>
    <x:col min="3" max="3" width="8.25" hidden="0" customWidth="1"/>
    <x:col min="5" max="5" width="47.13000106811523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Statuts</x:v>
      </x:c>
      <x:c r="B1" s="6" t="str">
        <x:v>Responsables</x:v>
      </x:c>
      <x:c r="C1" s="6" t="str">
        <x:v>Canaux</x:v>
      </x:c>
      <x:c r="E1" s="20" t="str">
        <x:v>Mode d’emploi</x:v>
      </x:c>
      <x:c r="F1" s="20"/>
      <x:c r="G1" s="20"/>
      <x:c r="H1" s="20"/>
    </x:row>
    <x:row r="2">
      <x:c r="A2" s="9" t="str">
        <x:v>Livrée</x:v>
      </x:c>
      <x:c r="B2" s="9" t="str">
        <x:v>Alice</x:v>
      </x:c>
      <x:c r="C2" s="9" t="str">
        <x:v>Direct</x:v>
      </x:c>
      <x:c r="E2" s="24" t="str">
        <x:v>1 — Modifiez les commandes dans Orders.</x:v>
      </x:c>
      <x:c r="F2" s="24"/>
      <x:c r="G2" s="24"/>
      <x:c r="H2" s="24"/>
    </x:row>
    <x:row r="3">
      <x:c r="A3" s="9" t="str">
        <x:v>En cours</x:v>
      </x:c>
      <x:c r="B3" s="9" t="str">
        <x:v>Benoît</x:v>
      </x:c>
      <x:c r="C3" s="9" t="str">
        <x:v>Web</x:v>
      </x:c>
      <x:c r="E3" s="24" t="str">
        <x:v>2 — Les KPI et graphiques du Dashboard se recalculent.</x:v>
      </x:c>
      <x:c r="F3" s="24"/>
      <x:c r="G3" s="24"/>
      <x:c r="H3" s="24"/>
    </x:row>
    <x:row r="4">
      <x:c r="A4" s="9" t="str">
        <x:v>En préparation</x:v>
      </x:c>
      <x:c r="B4" s="9" t="str">
        <x:v>Chloé</x:v>
      </x:c>
      <x:c r="C4" s="9" t="str">
        <x:v>Partenaire</x:v>
      </x:c>
      <x:c r="E4" s="24" t="str">
        <x:v>3 — Le bouton VBA ouvre le vrai UserForm de démonstration.</x:v>
      </x:c>
      <x:c r="F4" s="24"/>
      <x:c r="G4" s="24"/>
      <x:c r="H4" s="24"/>
    </x:row>
    <x:row r="5">
      <x:c r="A5" s="9" t="str">
        <x:v>Retard</x:v>
      </x:c>
      <x:c r="B5" s="9" t="str">
        <x:v>David</x:v>
      </x:c>
      <x:c r="C5" s="9"/>
      <x:c r="E5" s="24" t="str">
        <x:v>4 — Copilot peut lire puis réinjecter les modules .bas/.cls/.frm.</x:v>
      </x:c>
      <x:c r="F5" s="24"/>
      <x:c r="G5" s="24"/>
      <x:c r="H5" s="24"/>
    </x:row>
  </x:sheetData>
  <x:mergeCells>
    <x:mergeCell ref="E1:H1"/>
    <x:mergeCell ref="E2:H2"/>
    <x:mergeCell ref="E3:H3"/>
    <x:mergeCell ref="E4:H4"/>
    <x:mergeCell ref="E5:H5"/>
  </x:mergeCells>
  <x:pageMargins left="0.7" right="0.7" top="0.75" bottom="0.75" header="0.3" footer="0.3"/>
</x:worksheet>
</file>